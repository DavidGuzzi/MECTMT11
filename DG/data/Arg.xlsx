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89b4ab3e3a2fa6/Escritorio/David Guzzi/Github/MECTMT11/DG/data/"/>
    </mc:Choice>
  </mc:AlternateContent>
  <xr:revisionPtr revIDLastSave="78" documentId="13_ncr:1_{9016ADDD-22A1-4240-AACE-AEB2F52293FF}" xr6:coauthVersionLast="47" xr6:coauthVersionMax="47" xr10:uidLastSave="{291215CE-34D8-4CA0-9EDF-D04BBE6BDFAF}"/>
  <bookViews>
    <workbookView xWindow="-120" yWindow="-120" windowWidth="29040" windowHeight="15720" activeTab="1" xr2:uid="{A9E7A37D-4260-4CB4-8811-068D8D482F08}"/>
  </bookViews>
  <sheets>
    <sheet name="data" sheetId="1" r:id="rId1"/>
    <sheet name="data_Arg" sheetId="2" r:id="rId2"/>
  </sheets>
  <definedNames>
    <definedName name="_xlnm._FilterDatabase" localSheetId="1" hidden="1">data_Arg!$B$2:$F$90</definedName>
    <definedName name="_xlnm.Print_Area" localSheetId="0">data!$L$4:$L$27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2" l="1"/>
  <c r="V4" i="2"/>
  <c r="U3" i="2"/>
  <c r="S3" i="2"/>
  <c r="P100" i="2"/>
  <c r="AI84" i="2"/>
  <c r="AI83" i="2"/>
  <c r="AI80" i="2"/>
  <c r="AI76" i="2"/>
  <c r="AI75" i="2"/>
  <c r="AI72" i="2"/>
  <c r="AI68" i="2"/>
  <c r="AI67" i="2"/>
  <c r="AI64" i="2"/>
  <c r="AI60" i="2"/>
  <c r="AI59" i="2"/>
  <c r="AI56" i="2"/>
  <c r="AI52" i="2"/>
  <c r="AI51" i="2"/>
  <c r="AI48" i="2"/>
  <c r="AI44" i="2"/>
  <c r="AI43" i="2"/>
  <c r="AI40" i="2"/>
  <c r="AI36" i="2"/>
  <c r="AI35" i="2"/>
  <c r="AI32" i="2"/>
  <c r="AI28" i="2"/>
  <c r="AI27" i="2"/>
  <c r="AI24" i="2"/>
  <c r="AI20" i="2"/>
  <c r="AI19" i="2"/>
  <c r="AI16" i="2"/>
  <c r="AI12" i="2"/>
  <c r="AI11" i="2"/>
  <c r="AI8" i="2"/>
  <c r="Y89" i="2"/>
  <c r="AI89" i="2" s="1"/>
  <c r="Y88" i="2"/>
  <c r="AI88" i="2" s="1"/>
  <c r="Y87" i="2"/>
  <c r="AI87" i="2" s="1"/>
  <c r="Y86" i="2"/>
  <c r="AI86" i="2" s="1"/>
  <c r="Y85" i="2"/>
  <c r="AI85" i="2" s="1"/>
  <c r="Y84" i="2"/>
  <c r="Y83" i="2"/>
  <c r="Y82" i="2"/>
  <c r="AI82" i="2" s="1"/>
  <c r="Y81" i="2"/>
  <c r="AI81" i="2" s="1"/>
  <c r="Y80" i="2"/>
  <c r="Y79" i="2"/>
  <c r="AI79" i="2" s="1"/>
  <c r="Y78" i="2"/>
  <c r="AI78" i="2" s="1"/>
  <c r="Y77" i="2"/>
  <c r="AI77" i="2" s="1"/>
  <c r="Y76" i="2"/>
  <c r="Y75" i="2"/>
  <c r="Y74" i="2"/>
  <c r="AI74" i="2" s="1"/>
  <c r="Y73" i="2"/>
  <c r="AI73" i="2" s="1"/>
  <c r="Y72" i="2"/>
  <c r="Y71" i="2"/>
  <c r="AI71" i="2" s="1"/>
  <c r="Y70" i="2"/>
  <c r="AI70" i="2" s="1"/>
  <c r="Y69" i="2"/>
  <c r="AI69" i="2" s="1"/>
  <c r="Y68" i="2"/>
  <c r="Y67" i="2"/>
  <c r="Y66" i="2"/>
  <c r="AI66" i="2" s="1"/>
  <c r="Y65" i="2"/>
  <c r="AI65" i="2" s="1"/>
  <c r="Y64" i="2"/>
  <c r="Y63" i="2"/>
  <c r="AI63" i="2" s="1"/>
  <c r="Y62" i="2"/>
  <c r="AI62" i="2" s="1"/>
  <c r="Y61" i="2"/>
  <c r="AI61" i="2" s="1"/>
  <c r="Y60" i="2"/>
  <c r="Y59" i="2"/>
  <c r="Y58" i="2"/>
  <c r="AI58" i="2" s="1"/>
  <c r="Y57" i="2"/>
  <c r="AI57" i="2" s="1"/>
  <c r="Y56" i="2"/>
  <c r="Y55" i="2"/>
  <c r="AI55" i="2" s="1"/>
  <c r="Y54" i="2"/>
  <c r="AI54" i="2" s="1"/>
  <c r="Y53" i="2"/>
  <c r="AI53" i="2" s="1"/>
  <c r="Y52" i="2"/>
  <c r="Y51" i="2"/>
  <c r="Y50" i="2"/>
  <c r="AI50" i="2" s="1"/>
  <c r="Y49" i="2"/>
  <c r="AI49" i="2" s="1"/>
  <c r="Y48" i="2"/>
  <c r="Y47" i="2"/>
  <c r="AI47" i="2" s="1"/>
  <c r="Y46" i="2"/>
  <c r="AI46" i="2" s="1"/>
  <c r="Y45" i="2"/>
  <c r="AI45" i="2" s="1"/>
  <c r="Y44" i="2"/>
  <c r="Y43" i="2"/>
  <c r="Y42" i="2"/>
  <c r="AI42" i="2" s="1"/>
  <c r="Y41" i="2"/>
  <c r="AI41" i="2" s="1"/>
  <c r="Y40" i="2"/>
  <c r="Y39" i="2"/>
  <c r="AI39" i="2" s="1"/>
  <c r="Y38" i="2"/>
  <c r="AI38" i="2" s="1"/>
  <c r="Y37" i="2"/>
  <c r="AI37" i="2" s="1"/>
  <c r="Y36" i="2"/>
  <c r="Y35" i="2"/>
  <c r="Y34" i="2"/>
  <c r="AI34" i="2" s="1"/>
  <c r="Y33" i="2"/>
  <c r="AI33" i="2" s="1"/>
  <c r="Y32" i="2"/>
  <c r="Y31" i="2"/>
  <c r="AI31" i="2" s="1"/>
  <c r="Y30" i="2"/>
  <c r="AI30" i="2" s="1"/>
  <c r="Y29" i="2"/>
  <c r="AI29" i="2" s="1"/>
  <c r="Y28" i="2"/>
  <c r="Y27" i="2"/>
  <c r="Y26" i="2"/>
  <c r="AI26" i="2" s="1"/>
  <c r="Y25" i="2"/>
  <c r="AI25" i="2" s="1"/>
  <c r="Y24" i="2"/>
  <c r="Y23" i="2"/>
  <c r="AI23" i="2" s="1"/>
  <c r="Y22" i="2"/>
  <c r="AI22" i="2" s="1"/>
  <c r="Y21" i="2"/>
  <c r="AI21" i="2" s="1"/>
  <c r="Y20" i="2"/>
  <c r="Y19" i="2"/>
  <c r="Y18" i="2"/>
  <c r="AI18" i="2" s="1"/>
  <c r="Y17" i="2"/>
  <c r="AI17" i="2" s="1"/>
  <c r="Y16" i="2"/>
  <c r="Y15" i="2"/>
  <c r="AI15" i="2" s="1"/>
  <c r="Y14" i="2"/>
  <c r="AI14" i="2" s="1"/>
  <c r="Y13" i="2"/>
  <c r="AI13" i="2" s="1"/>
  <c r="Y12" i="2"/>
  <c r="Y11" i="2"/>
  <c r="Y10" i="2"/>
  <c r="AI10" i="2" s="1"/>
  <c r="Y9" i="2"/>
  <c r="AI9" i="2" s="1"/>
  <c r="Y8" i="2"/>
  <c r="Y7" i="2"/>
  <c r="AI7" i="2" s="1"/>
  <c r="Y6" i="2"/>
  <c r="AI6" i="2" s="1"/>
  <c r="Y5" i="2"/>
  <c r="AI5" i="2" s="1"/>
  <c r="Y4" i="2"/>
  <c r="AI4" i="2" s="1"/>
  <c r="Y3" i="2"/>
  <c r="AC8" i="1"/>
  <c r="S6" i="1"/>
  <c r="Q239" i="1"/>
  <c r="Z8" i="1" s="1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Q6" i="1"/>
  <c r="AB5" i="2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B39" i="2" s="1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52" i="2" s="1"/>
  <c r="AB53" i="2" s="1"/>
  <c r="AB54" i="2" s="1"/>
  <c r="AB55" i="2" s="1"/>
  <c r="AB56" i="2" s="1"/>
  <c r="AB57" i="2" s="1"/>
  <c r="AB58" i="2" s="1"/>
  <c r="AB59" i="2" s="1"/>
  <c r="AB60" i="2" s="1"/>
  <c r="AB61" i="2" s="1"/>
  <c r="AB62" i="2" s="1"/>
  <c r="AB63" i="2" s="1"/>
  <c r="AB64" i="2" s="1"/>
  <c r="AB65" i="2" s="1"/>
  <c r="AB66" i="2" s="1"/>
  <c r="AB67" i="2" s="1"/>
  <c r="AB68" i="2" s="1"/>
  <c r="AB69" i="2" s="1"/>
  <c r="AB70" i="2" s="1"/>
  <c r="AB71" i="2" s="1"/>
  <c r="AB72" i="2" s="1"/>
  <c r="AB73" i="2" s="1"/>
  <c r="AB74" i="2" s="1"/>
  <c r="AB75" i="2" s="1"/>
  <c r="AB76" i="2" s="1"/>
  <c r="AB77" i="2" s="1"/>
  <c r="AB78" i="2" s="1"/>
  <c r="AB79" i="2" s="1"/>
  <c r="AB80" i="2" s="1"/>
  <c r="AB81" i="2" s="1"/>
  <c r="AB82" i="2" s="1"/>
  <c r="AB83" i="2" s="1"/>
  <c r="AB84" i="2" s="1"/>
  <c r="AB85" i="2" s="1"/>
  <c r="AB86" i="2" s="1"/>
  <c r="AB87" i="2" s="1"/>
  <c r="AB88" i="2" s="1"/>
  <c r="AB89" i="2" s="1"/>
  <c r="I89" i="2"/>
  <c r="S89" i="2" s="1"/>
  <c r="I88" i="2"/>
  <c r="U88" i="2" s="1"/>
  <c r="I87" i="2"/>
  <c r="U87" i="2" s="1"/>
  <c r="I86" i="2"/>
  <c r="U86" i="2" s="1"/>
  <c r="I85" i="2"/>
  <c r="S85" i="2" s="1"/>
  <c r="I84" i="2"/>
  <c r="S84" i="2" s="1"/>
  <c r="I83" i="2"/>
  <c r="S83" i="2" s="1"/>
  <c r="I82" i="2"/>
  <c r="S82" i="2" s="1"/>
  <c r="I81" i="2"/>
  <c r="S81" i="2" s="1"/>
  <c r="I80" i="2"/>
  <c r="U80" i="2" s="1"/>
  <c r="I79" i="2"/>
  <c r="U79" i="2" s="1"/>
  <c r="I78" i="2"/>
  <c r="U78" i="2" s="1"/>
  <c r="I77" i="2"/>
  <c r="I76" i="2"/>
  <c r="S76" i="2" s="1"/>
  <c r="I75" i="2"/>
  <c r="S75" i="2" s="1"/>
  <c r="I74" i="2"/>
  <c r="S74" i="2" s="1"/>
  <c r="I73" i="2"/>
  <c r="S73" i="2" s="1"/>
  <c r="I72" i="2"/>
  <c r="U72" i="2" s="1"/>
  <c r="I71" i="2"/>
  <c r="U71" i="2" s="1"/>
  <c r="I70" i="2"/>
  <c r="U70" i="2" s="1"/>
  <c r="I69" i="2"/>
  <c r="I68" i="2"/>
  <c r="S68" i="2" s="1"/>
  <c r="I67" i="2"/>
  <c r="S67" i="2" s="1"/>
  <c r="I66" i="2"/>
  <c r="S66" i="2" s="1"/>
  <c r="I65" i="2"/>
  <c r="S65" i="2" s="1"/>
  <c r="I64" i="2"/>
  <c r="U64" i="2" s="1"/>
  <c r="I63" i="2"/>
  <c r="U63" i="2" s="1"/>
  <c r="I62" i="2"/>
  <c r="I61" i="2"/>
  <c r="I60" i="2"/>
  <c r="S60" i="2" s="1"/>
  <c r="I59" i="2"/>
  <c r="S59" i="2" s="1"/>
  <c r="I58" i="2"/>
  <c r="S58" i="2" s="1"/>
  <c r="I57" i="2"/>
  <c r="S57" i="2" s="1"/>
  <c r="I56" i="2"/>
  <c r="U56" i="2" s="1"/>
  <c r="I55" i="2"/>
  <c r="U55" i="2" s="1"/>
  <c r="I54" i="2"/>
  <c r="U54" i="2" s="1"/>
  <c r="I53" i="2"/>
  <c r="S53" i="2" s="1"/>
  <c r="I52" i="2"/>
  <c r="S52" i="2" s="1"/>
  <c r="I51" i="2"/>
  <c r="S51" i="2" s="1"/>
  <c r="I50" i="2"/>
  <c r="S50" i="2" s="1"/>
  <c r="I49" i="2"/>
  <c r="S49" i="2" s="1"/>
  <c r="I48" i="2"/>
  <c r="U48" i="2" s="1"/>
  <c r="I47" i="2"/>
  <c r="U47" i="2" s="1"/>
  <c r="I46" i="2"/>
  <c r="U46" i="2" s="1"/>
  <c r="I45" i="2"/>
  <c r="T45" i="2" s="1"/>
  <c r="I44" i="2"/>
  <c r="S44" i="2" s="1"/>
  <c r="I43" i="2"/>
  <c r="S43" i="2" s="1"/>
  <c r="I42" i="2"/>
  <c r="S42" i="2" s="1"/>
  <c r="I41" i="2"/>
  <c r="S41" i="2" s="1"/>
  <c r="I40" i="2"/>
  <c r="U40" i="2" s="1"/>
  <c r="I39" i="2"/>
  <c r="U39" i="2" s="1"/>
  <c r="I38" i="2"/>
  <c r="I37" i="2"/>
  <c r="T37" i="2" s="1"/>
  <c r="I36" i="2"/>
  <c r="S36" i="2" s="1"/>
  <c r="I35" i="2"/>
  <c r="S35" i="2" s="1"/>
  <c r="I34" i="2"/>
  <c r="S34" i="2" s="1"/>
  <c r="I33" i="2"/>
  <c r="S33" i="2" s="1"/>
  <c r="I32" i="2"/>
  <c r="U32" i="2" s="1"/>
  <c r="I31" i="2"/>
  <c r="U31" i="2" s="1"/>
  <c r="I30" i="2"/>
  <c r="U30" i="2" s="1"/>
  <c r="I29" i="2"/>
  <c r="T29" i="2" s="1"/>
  <c r="I28" i="2"/>
  <c r="S28" i="2" s="1"/>
  <c r="I27" i="2"/>
  <c r="S27" i="2" s="1"/>
  <c r="I26" i="2"/>
  <c r="S26" i="2" s="1"/>
  <c r="I25" i="2"/>
  <c r="S25" i="2" s="1"/>
  <c r="I24" i="2"/>
  <c r="U24" i="2" s="1"/>
  <c r="I23" i="2"/>
  <c r="U23" i="2" s="1"/>
  <c r="I22" i="2"/>
  <c r="U22" i="2" s="1"/>
  <c r="I21" i="2"/>
  <c r="T21" i="2" s="1"/>
  <c r="I20" i="2"/>
  <c r="S20" i="2" s="1"/>
  <c r="I19" i="2"/>
  <c r="S19" i="2" s="1"/>
  <c r="I18" i="2"/>
  <c r="S18" i="2" s="1"/>
  <c r="I17" i="2"/>
  <c r="S17" i="2" s="1"/>
  <c r="I16" i="2"/>
  <c r="U16" i="2" s="1"/>
  <c r="I15" i="2"/>
  <c r="U15" i="2" s="1"/>
  <c r="I14" i="2"/>
  <c r="U14" i="2" s="1"/>
  <c r="I13" i="2"/>
  <c r="T13" i="2" s="1"/>
  <c r="I12" i="2"/>
  <c r="S12" i="2" s="1"/>
  <c r="I11" i="2"/>
  <c r="S11" i="2" s="1"/>
  <c r="I10" i="2"/>
  <c r="S10" i="2" s="1"/>
  <c r="I9" i="2"/>
  <c r="S9" i="2" s="1"/>
  <c r="I8" i="2"/>
  <c r="U8" i="2" s="1"/>
  <c r="I7" i="2"/>
  <c r="U7" i="2" s="1"/>
  <c r="I6" i="2"/>
  <c r="U6" i="2" s="1"/>
  <c r="I5" i="2"/>
  <c r="T5" i="2" s="1"/>
  <c r="I4" i="2"/>
  <c r="S4" i="2" s="1"/>
  <c r="I3" i="2"/>
  <c r="N6" i="1"/>
  <c r="M49" i="2"/>
  <c r="N49" i="2" s="1"/>
  <c r="M17" i="2"/>
  <c r="N17" i="2" s="1"/>
  <c r="G6" i="1"/>
  <c r="P84" i="2" l="1"/>
  <c r="P76" i="2"/>
  <c r="P68" i="2"/>
  <c r="V68" i="2" s="1"/>
  <c r="P60" i="2"/>
  <c r="V60" i="2" s="1"/>
  <c r="P52" i="2"/>
  <c r="V52" i="2" s="1"/>
  <c r="P44" i="2"/>
  <c r="V44" i="2" s="1"/>
  <c r="P36" i="2"/>
  <c r="V36" i="2" s="1"/>
  <c r="P28" i="2"/>
  <c r="V28" i="2" s="1"/>
  <c r="P20" i="2"/>
  <c r="P12" i="2"/>
  <c r="V12" i="2" s="1"/>
  <c r="P4" i="2"/>
  <c r="P75" i="2"/>
  <c r="P67" i="2"/>
  <c r="V67" i="2" s="1"/>
  <c r="P59" i="2"/>
  <c r="V59" i="2" s="1"/>
  <c r="P51" i="2"/>
  <c r="P43" i="2"/>
  <c r="V43" i="2" s="1"/>
  <c r="P35" i="2"/>
  <c r="P27" i="2"/>
  <c r="V27" i="2" s="1"/>
  <c r="P19" i="2"/>
  <c r="P11" i="2"/>
  <c r="V11" i="2" s="1"/>
  <c r="P3" i="2"/>
  <c r="V3" i="2" s="1"/>
  <c r="P7" i="2"/>
  <c r="V7" i="2" s="1"/>
  <c r="P86" i="2"/>
  <c r="V86" i="2" s="1"/>
  <c r="P54" i="2"/>
  <c r="V54" i="2" s="1"/>
  <c r="P14" i="2"/>
  <c r="P83" i="2"/>
  <c r="P38" i="2"/>
  <c r="V38" i="2" s="1"/>
  <c r="P53" i="2"/>
  <c r="V53" i="2" s="1"/>
  <c r="P21" i="2"/>
  <c r="V21" i="2" s="1"/>
  <c r="P82" i="2"/>
  <c r="V82" i="2" s="1"/>
  <c r="P74" i="2"/>
  <c r="V74" i="2" s="1"/>
  <c r="P66" i="2"/>
  <c r="V66" i="2" s="1"/>
  <c r="P58" i="2"/>
  <c r="P50" i="2"/>
  <c r="P42" i="2"/>
  <c r="V42" i="2" s="1"/>
  <c r="P34" i="2"/>
  <c r="P26" i="2"/>
  <c r="V26" i="2" s="1"/>
  <c r="P18" i="2"/>
  <c r="V18" i="2" s="1"/>
  <c r="P10" i="2"/>
  <c r="V10" i="2" s="1"/>
  <c r="P71" i="2"/>
  <c r="V71" i="2" s="1"/>
  <c r="P55" i="2"/>
  <c r="P31" i="2"/>
  <c r="V31" i="2" s="1"/>
  <c r="P70" i="2"/>
  <c r="V70" i="2" s="1"/>
  <c r="P30" i="2"/>
  <c r="V30" i="2" s="1"/>
  <c r="P6" i="2"/>
  <c r="V6" i="2" s="1"/>
  <c r="P69" i="2"/>
  <c r="V69" i="2" s="1"/>
  <c r="P29" i="2"/>
  <c r="V29" i="2" s="1"/>
  <c r="P89" i="2"/>
  <c r="V89" i="2" s="1"/>
  <c r="P81" i="2"/>
  <c r="P73" i="2"/>
  <c r="V73" i="2" s="1"/>
  <c r="P65" i="2"/>
  <c r="V65" i="2" s="1"/>
  <c r="P57" i="2"/>
  <c r="V57" i="2" s="1"/>
  <c r="P49" i="2"/>
  <c r="V49" i="2" s="1"/>
  <c r="P41" i="2"/>
  <c r="V41" i="2" s="1"/>
  <c r="P33" i="2"/>
  <c r="V33" i="2" s="1"/>
  <c r="P25" i="2"/>
  <c r="V25" i="2" s="1"/>
  <c r="P17" i="2"/>
  <c r="P9" i="2"/>
  <c r="V9" i="2" s="1"/>
  <c r="P87" i="2"/>
  <c r="V87" i="2" s="1"/>
  <c r="P63" i="2"/>
  <c r="V63" i="2" s="1"/>
  <c r="P39" i="2"/>
  <c r="V39" i="2" s="1"/>
  <c r="P23" i="2"/>
  <c r="V23" i="2" s="1"/>
  <c r="P78" i="2"/>
  <c r="V78" i="2" s="1"/>
  <c r="P46" i="2"/>
  <c r="V46" i="2" s="1"/>
  <c r="P85" i="2"/>
  <c r="P61" i="2"/>
  <c r="V61" i="2" s="1"/>
  <c r="P37" i="2"/>
  <c r="V37" i="2" s="1"/>
  <c r="P5" i="2"/>
  <c r="V5" i="2" s="1"/>
  <c r="P88" i="2"/>
  <c r="V88" i="2" s="1"/>
  <c r="P80" i="2"/>
  <c r="V80" i="2" s="1"/>
  <c r="P72" i="2"/>
  <c r="V72" i="2" s="1"/>
  <c r="P64" i="2"/>
  <c r="V64" i="2" s="1"/>
  <c r="P56" i="2"/>
  <c r="P48" i="2"/>
  <c r="V48" i="2" s="1"/>
  <c r="P40" i="2"/>
  <c r="V40" i="2" s="1"/>
  <c r="P32" i="2"/>
  <c r="V32" i="2" s="1"/>
  <c r="P24" i="2"/>
  <c r="V24" i="2" s="1"/>
  <c r="P16" i="2"/>
  <c r="V16" i="2" s="1"/>
  <c r="P8" i="2"/>
  <c r="V8" i="2" s="1"/>
  <c r="P79" i="2"/>
  <c r="V79" i="2" s="1"/>
  <c r="P47" i="2"/>
  <c r="P15" i="2"/>
  <c r="V15" i="2" s="1"/>
  <c r="P62" i="2"/>
  <c r="V62" i="2" s="1"/>
  <c r="P22" i="2"/>
  <c r="V22" i="2" s="1"/>
  <c r="P77" i="2"/>
  <c r="V77" i="2" s="1"/>
  <c r="P45" i="2"/>
  <c r="V45" i="2" s="1"/>
  <c r="P13" i="2"/>
  <c r="V13" i="2" s="1"/>
  <c r="T6" i="2"/>
  <c r="T70" i="2"/>
  <c r="AC85" i="2"/>
  <c r="T81" i="2"/>
  <c r="V34" i="2"/>
  <c r="V76" i="2"/>
  <c r="S6" i="2"/>
  <c r="T17" i="2"/>
  <c r="U42" i="2"/>
  <c r="V17" i="2"/>
  <c r="V81" i="2"/>
  <c r="S21" i="2"/>
  <c r="AC21" i="2" s="1"/>
  <c r="T33" i="2"/>
  <c r="U49" i="2"/>
  <c r="AE49" i="2" s="1"/>
  <c r="V58" i="2"/>
  <c r="U33" i="2"/>
  <c r="AE33" i="2" s="1"/>
  <c r="S29" i="2"/>
  <c r="AC29" i="2" s="1"/>
  <c r="T49" i="2"/>
  <c r="U65" i="2"/>
  <c r="AE65" i="2" s="1"/>
  <c r="V19" i="2"/>
  <c r="V35" i="2"/>
  <c r="V75" i="2"/>
  <c r="V83" i="2"/>
  <c r="T54" i="2"/>
  <c r="V20" i="2"/>
  <c r="V84" i="2"/>
  <c r="V47" i="2"/>
  <c r="S70" i="2"/>
  <c r="T65" i="2"/>
  <c r="V85" i="2"/>
  <c r="V14" i="2"/>
  <c r="T53" i="2"/>
  <c r="T61" i="2"/>
  <c r="T69" i="2"/>
  <c r="AD70" i="2" s="1"/>
  <c r="T77" i="2"/>
  <c r="T85" i="2"/>
  <c r="S30" i="2"/>
  <c r="T86" i="2"/>
  <c r="U74" i="2"/>
  <c r="U58" i="2"/>
  <c r="U38" i="2"/>
  <c r="AE39" i="2" s="1"/>
  <c r="T38" i="2"/>
  <c r="AD38" i="2" s="1"/>
  <c r="U62" i="2"/>
  <c r="AE63" i="2" s="1"/>
  <c r="S62" i="2"/>
  <c r="S38" i="2"/>
  <c r="T22" i="2"/>
  <c r="AD22" i="2" s="1"/>
  <c r="U10" i="2"/>
  <c r="U26" i="2"/>
  <c r="V55" i="2"/>
  <c r="AE8" i="2"/>
  <c r="AE16" i="2"/>
  <c r="AE24" i="2"/>
  <c r="AE32" i="2"/>
  <c r="AE40" i="2"/>
  <c r="AE48" i="2"/>
  <c r="AE56" i="2"/>
  <c r="AE64" i="2"/>
  <c r="AE72" i="2"/>
  <c r="AE80" i="2"/>
  <c r="AE88" i="2"/>
  <c r="S61" i="2"/>
  <c r="AC61" i="2" s="1"/>
  <c r="V56" i="2"/>
  <c r="U17" i="2"/>
  <c r="AE17" i="2" s="1"/>
  <c r="U81" i="2"/>
  <c r="AE81" i="2" s="1"/>
  <c r="S22" i="2"/>
  <c r="AC22" i="2" s="1"/>
  <c r="S45" i="2"/>
  <c r="AC45" i="2" s="1"/>
  <c r="S64" i="2"/>
  <c r="AC65" i="2" s="1"/>
  <c r="S86" i="2"/>
  <c r="AC86" i="2" s="1"/>
  <c r="T25" i="2"/>
  <c r="T57" i="2"/>
  <c r="T89" i="2"/>
  <c r="U34" i="2"/>
  <c r="U66" i="2"/>
  <c r="S40" i="2"/>
  <c r="AC41" i="2" s="1"/>
  <c r="S5" i="2"/>
  <c r="AC5" i="2" s="1"/>
  <c r="S24" i="2"/>
  <c r="AC25" i="2" s="1"/>
  <c r="S46" i="2"/>
  <c r="S69" i="2"/>
  <c r="AC69" i="2" s="1"/>
  <c r="S88" i="2"/>
  <c r="AC89" i="2" s="1"/>
  <c r="T30" i="2"/>
  <c r="AD30" i="2" s="1"/>
  <c r="T62" i="2"/>
  <c r="U9" i="2"/>
  <c r="U41" i="2"/>
  <c r="AE41" i="2" s="1"/>
  <c r="U73" i="2"/>
  <c r="AE73" i="2" s="1"/>
  <c r="S48" i="2"/>
  <c r="AC49" i="2" s="1"/>
  <c r="S8" i="2"/>
  <c r="AC9" i="2" s="1"/>
  <c r="S72" i="2"/>
  <c r="AC73" i="2" s="1"/>
  <c r="S13" i="2"/>
  <c r="AC13" i="2" s="1"/>
  <c r="S32" i="2"/>
  <c r="S54" i="2"/>
  <c r="AC54" i="2" s="1"/>
  <c r="S77" i="2"/>
  <c r="AC77" i="2" s="1"/>
  <c r="T9" i="2"/>
  <c r="T41" i="2"/>
  <c r="T73" i="2"/>
  <c r="U18" i="2"/>
  <c r="U50" i="2"/>
  <c r="U82" i="2"/>
  <c r="S14" i="2"/>
  <c r="S37" i="2"/>
  <c r="AC38" i="2" s="1"/>
  <c r="S56" i="2"/>
  <c r="AC57" i="2" s="1"/>
  <c r="S78" i="2"/>
  <c r="T14" i="2"/>
  <c r="AD14" i="2" s="1"/>
  <c r="T46" i="2"/>
  <c r="AD46" i="2" s="1"/>
  <c r="T78" i="2"/>
  <c r="U25" i="2"/>
  <c r="U57" i="2"/>
  <c r="U89" i="2"/>
  <c r="AE89" i="2" s="1"/>
  <c r="S16" i="2"/>
  <c r="AC17" i="2" s="1"/>
  <c r="S80" i="2"/>
  <c r="AC81" i="2" s="1"/>
  <c r="AC58" i="2"/>
  <c r="AC10" i="2"/>
  <c r="AC34" i="2"/>
  <c r="AC50" i="2"/>
  <c r="AC82" i="2"/>
  <c r="AC19" i="2"/>
  <c r="AC35" i="2"/>
  <c r="AC51" i="2"/>
  <c r="AC75" i="2"/>
  <c r="AC4" i="2"/>
  <c r="AC12" i="2"/>
  <c r="AC20" i="2"/>
  <c r="AC28" i="2"/>
  <c r="AC36" i="2"/>
  <c r="AC44" i="2"/>
  <c r="AC52" i="2"/>
  <c r="AC60" i="2"/>
  <c r="AC68" i="2"/>
  <c r="AC76" i="2"/>
  <c r="AC84" i="2"/>
  <c r="AC53" i="2"/>
  <c r="AD6" i="2"/>
  <c r="AC26" i="2"/>
  <c r="AC74" i="2"/>
  <c r="AC59" i="2"/>
  <c r="AC18" i="2"/>
  <c r="AC42" i="2"/>
  <c r="AC66" i="2"/>
  <c r="AE9" i="2"/>
  <c r="AC11" i="2"/>
  <c r="AC27" i="2"/>
  <c r="AC43" i="2"/>
  <c r="AC67" i="2"/>
  <c r="AC83" i="2"/>
  <c r="AE7" i="2"/>
  <c r="AE15" i="2"/>
  <c r="AE23" i="2"/>
  <c r="AE31" i="2"/>
  <c r="AE47" i="2"/>
  <c r="AE55" i="2"/>
  <c r="AE71" i="2"/>
  <c r="AE79" i="2"/>
  <c r="AE87" i="2"/>
  <c r="T7" i="2"/>
  <c r="AD7" i="2" s="1"/>
  <c r="T23" i="2"/>
  <c r="T39" i="2"/>
  <c r="AD39" i="2" s="1"/>
  <c r="T55" i="2"/>
  <c r="T71" i="2"/>
  <c r="AD71" i="2" s="1"/>
  <c r="T15" i="2"/>
  <c r="T31" i="2"/>
  <c r="T47" i="2"/>
  <c r="AD47" i="2" s="1"/>
  <c r="T63" i="2"/>
  <c r="T79" i="2"/>
  <c r="T87" i="2"/>
  <c r="S7" i="2"/>
  <c r="AC7" i="2" s="1"/>
  <c r="S15" i="2"/>
  <c r="S23" i="2"/>
  <c r="S31" i="2"/>
  <c r="S39" i="2"/>
  <c r="S47" i="2"/>
  <c r="S55" i="2"/>
  <c r="S63" i="2"/>
  <c r="S71" i="2"/>
  <c r="S79" i="2"/>
  <c r="S87" i="2"/>
  <c r="T8" i="2"/>
  <c r="T16" i="2"/>
  <c r="T24" i="2"/>
  <c r="T32" i="2"/>
  <c r="T40" i="2"/>
  <c r="AD40" i="2" s="1"/>
  <c r="T48" i="2"/>
  <c r="T56" i="2"/>
  <c r="T64" i="2"/>
  <c r="T72" i="2"/>
  <c r="T80" i="2"/>
  <c r="T88" i="2"/>
  <c r="U11" i="2"/>
  <c r="U19" i="2"/>
  <c r="U27" i="2"/>
  <c r="AE27" i="2" s="1"/>
  <c r="U35" i="2"/>
  <c r="U43" i="2"/>
  <c r="U51" i="2"/>
  <c r="AE51" i="2" s="1"/>
  <c r="U59" i="2"/>
  <c r="U67" i="2"/>
  <c r="U75" i="2"/>
  <c r="U83" i="2"/>
  <c r="U20" i="2"/>
  <c r="U52" i="2"/>
  <c r="U84" i="2"/>
  <c r="T10" i="2"/>
  <c r="T18" i="2"/>
  <c r="AD18" i="2" s="1"/>
  <c r="T26" i="2"/>
  <c r="T34" i="2"/>
  <c r="T42" i="2"/>
  <c r="T50" i="2"/>
  <c r="T58" i="2"/>
  <c r="T66" i="2"/>
  <c r="T74" i="2"/>
  <c r="T82" i="2"/>
  <c r="AD82" i="2" s="1"/>
  <c r="U5" i="2"/>
  <c r="U13" i="2"/>
  <c r="U21" i="2"/>
  <c r="U29" i="2"/>
  <c r="AE30" i="2" s="1"/>
  <c r="U37" i="2"/>
  <c r="U45" i="2"/>
  <c r="AE46" i="2" s="1"/>
  <c r="U53" i="2"/>
  <c r="U61" i="2"/>
  <c r="U69" i="2"/>
  <c r="U77" i="2"/>
  <c r="U85" i="2"/>
  <c r="U12" i="2"/>
  <c r="U60" i="2"/>
  <c r="T3" i="2"/>
  <c r="T11" i="2"/>
  <c r="AD11" i="2" s="1"/>
  <c r="T19" i="2"/>
  <c r="AD19" i="2" s="1"/>
  <c r="T27" i="2"/>
  <c r="AD27" i="2" s="1"/>
  <c r="T35" i="2"/>
  <c r="AD35" i="2" s="1"/>
  <c r="T43" i="2"/>
  <c r="AD43" i="2" s="1"/>
  <c r="T51" i="2"/>
  <c r="AD51" i="2" s="1"/>
  <c r="T59" i="2"/>
  <c r="AD59" i="2" s="1"/>
  <c r="T67" i="2"/>
  <c r="AD67" i="2" s="1"/>
  <c r="T75" i="2"/>
  <c r="AD75" i="2" s="1"/>
  <c r="T83" i="2"/>
  <c r="AD83" i="2" s="1"/>
  <c r="U4" i="2"/>
  <c r="AE4" i="2" s="1"/>
  <c r="U36" i="2"/>
  <c r="U68" i="2"/>
  <c r="T4" i="2"/>
  <c r="T12" i="2"/>
  <c r="AD13" i="2" s="1"/>
  <c r="T20" i="2"/>
  <c r="AD21" i="2" s="1"/>
  <c r="T28" i="2"/>
  <c r="AD29" i="2" s="1"/>
  <c r="T36" i="2"/>
  <c r="AD37" i="2" s="1"/>
  <c r="T44" i="2"/>
  <c r="AD45" i="2" s="1"/>
  <c r="T52" i="2"/>
  <c r="T60" i="2"/>
  <c r="T68" i="2"/>
  <c r="T76" i="2"/>
  <c r="T84" i="2"/>
  <c r="U28" i="2"/>
  <c r="U44" i="2"/>
  <c r="AE44" i="2" s="1"/>
  <c r="U76" i="2"/>
  <c r="M5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L3" i="2" s="1"/>
  <c r="X3" i="2" s="1"/>
  <c r="J238" i="1"/>
  <c r="G238" i="1"/>
  <c r="T237" i="1"/>
  <c r="AC237" i="1" s="1"/>
  <c r="S237" i="1"/>
  <c r="R237" i="1"/>
  <c r="AA237" i="1" s="1"/>
  <c r="P237" i="1"/>
  <c r="O237" i="1"/>
  <c r="N237" i="1"/>
  <c r="J237" i="1"/>
  <c r="G237" i="1"/>
  <c r="Q237" i="1" s="1"/>
  <c r="T236" i="1"/>
  <c r="AC236" i="1" s="1"/>
  <c r="S236" i="1"/>
  <c r="AB236" i="1" s="1"/>
  <c r="R236" i="1"/>
  <c r="AA236" i="1" s="1"/>
  <c r="J236" i="1"/>
  <c r="P236" i="1" s="1"/>
  <c r="G236" i="1"/>
  <c r="Q236" i="1" s="1"/>
  <c r="T235" i="1"/>
  <c r="AC235" i="1" s="1"/>
  <c r="S235" i="1"/>
  <c r="AB235" i="1" s="1"/>
  <c r="R235" i="1"/>
  <c r="AA235" i="1" s="1"/>
  <c r="J235" i="1"/>
  <c r="G235" i="1"/>
  <c r="T234" i="1"/>
  <c r="AC234" i="1" s="1"/>
  <c r="S234" i="1"/>
  <c r="R234" i="1"/>
  <c r="AA234" i="1" s="1"/>
  <c r="J234" i="1"/>
  <c r="P234" i="1" s="1"/>
  <c r="G234" i="1"/>
  <c r="Q234" i="1" s="1"/>
  <c r="T233" i="1"/>
  <c r="AC233" i="1" s="1"/>
  <c r="S233" i="1"/>
  <c r="AB233" i="1" s="1"/>
  <c r="R233" i="1"/>
  <c r="AA233" i="1" s="1"/>
  <c r="J233" i="1"/>
  <c r="P233" i="1" s="1"/>
  <c r="G233" i="1"/>
  <c r="Q233" i="1" s="1"/>
  <c r="T232" i="1"/>
  <c r="AC232" i="1" s="1"/>
  <c r="S232" i="1"/>
  <c r="AB232" i="1" s="1"/>
  <c r="R232" i="1"/>
  <c r="AA232" i="1" s="1"/>
  <c r="J232" i="1"/>
  <c r="G232" i="1"/>
  <c r="T231" i="1"/>
  <c r="AC231" i="1" s="1"/>
  <c r="S231" i="1"/>
  <c r="AB231" i="1" s="1"/>
  <c r="R231" i="1"/>
  <c r="AA231" i="1" s="1"/>
  <c r="P231" i="1"/>
  <c r="O231" i="1"/>
  <c r="J231" i="1"/>
  <c r="N231" i="1" s="1"/>
  <c r="G231" i="1"/>
  <c r="T230" i="1"/>
  <c r="AC230" i="1" s="1"/>
  <c r="S230" i="1"/>
  <c r="R230" i="1"/>
  <c r="AA230" i="1" s="1"/>
  <c r="J230" i="1"/>
  <c r="P230" i="1" s="1"/>
  <c r="G230" i="1"/>
  <c r="Q230" i="1" s="1"/>
  <c r="T229" i="1"/>
  <c r="AC229" i="1" s="1"/>
  <c r="S229" i="1"/>
  <c r="R229" i="1"/>
  <c r="AA229" i="1" s="1"/>
  <c r="J229" i="1"/>
  <c r="P229" i="1" s="1"/>
  <c r="Y229" i="1" s="1"/>
  <c r="G229" i="1"/>
  <c r="Q229" i="1" s="1"/>
  <c r="T228" i="1"/>
  <c r="AC228" i="1" s="1"/>
  <c r="S228" i="1"/>
  <c r="AB228" i="1" s="1"/>
  <c r="R228" i="1"/>
  <c r="AA228" i="1" s="1"/>
  <c r="J228" i="1"/>
  <c r="P228" i="1" s="1"/>
  <c r="G228" i="1"/>
  <c r="T227" i="1"/>
  <c r="AC227" i="1" s="1"/>
  <c r="S227" i="1"/>
  <c r="R227" i="1"/>
  <c r="AA227" i="1" s="1"/>
  <c r="J227" i="1"/>
  <c r="G227" i="1"/>
  <c r="T226" i="1"/>
  <c r="AC226" i="1" s="1"/>
  <c r="S226" i="1"/>
  <c r="AB226" i="1" s="1"/>
  <c r="R226" i="1"/>
  <c r="AA226" i="1" s="1"/>
  <c r="J226" i="1"/>
  <c r="P226" i="1" s="1"/>
  <c r="G226" i="1"/>
  <c r="Q226" i="1" s="1"/>
  <c r="T225" i="1"/>
  <c r="AC225" i="1" s="1"/>
  <c r="S225" i="1"/>
  <c r="R225" i="1"/>
  <c r="AA225" i="1" s="1"/>
  <c r="P225" i="1"/>
  <c r="J225" i="1"/>
  <c r="G225" i="1"/>
  <c r="T224" i="1"/>
  <c r="AC224" i="1" s="1"/>
  <c r="S224" i="1"/>
  <c r="R224" i="1"/>
  <c r="AA224" i="1" s="1"/>
  <c r="J224" i="1"/>
  <c r="G224" i="1"/>
  <c r="T223" i="1"/>
  <c r="AC223" i="1" s="1"/>
  <c r="S223" i="1"/>
  <c r="R223" i="1"/>
  <c r="AA223" i="1" s="1"/>
  <c r="O223" i="1"/>
  <c r="J223" i="1"/>
  <c r="P223" i="1" s="1"/>
  <c r="G223" i="1"/>
  <c r="Q223" i="1" s="1"/>
  <c r="T222" i="1"/>
  <c r="AC222" i="1" s="1"/>
  <c r="S222" i="1"/>
  <c r="R222" i="1"/>
  <c r="AA222" i="1" s="1"/>
  <c r="J222" i="1"/>
  <c r="G222" i="1"/>
  <c r="T221" i="1"/>
  <c r="AC221" i="1" s="1"/>
  <c r="S221" i="1"/>
  <c r="R221" i="1"/>
  <c r="AA221" i="1" s="1"/>
  <c r="J221" i="1"/>
  <c r="G221" i="1"/>
  <c r="AC220" i="1"/>
  <c r="T220" i="1"/>
  <c r="S220" i="1"/>
  <c r="AB220" i="1" s="1"/>
  <c r="R220" i="1"/>
  <c r="AA220" i="1" s="1"/>
  <c r="J220" i="1"/>
  <c r="P220" i="1" s="1"/>
  <c r="G220" i="1"/>
  <c r="Q220" i="1" s="1"/>
  <c r="AA219" i="1"/>
  <c r="T219" i="1"/>
  <c r="AC219" i="1" s="1"/>
  <c r="S219" i="1"/>
  <c r="AB219" i="1" s="1"/>
  <c r="R219" i="1"/>
  <c r="J219" i="1"/>
  <c r="G219" i="1"/>
  <c r="Q219" i="1" s="1"/>
  <c r="T218" i="1"/>
  <c r="AC218" i="1" s="1"/>
  <c r="S218" i="1"/>
  <c r="AB218" i="1" s="1"/>
  <c r="R218" i="1"/>
  <c r="AA218" i="1" s="1"/>
  <c r="J218" i="1"/>
  <c r="P218" i="1" s="1"/>
  <c r="G218" i="1"/>
  <c r="Q218" i="1" s="1"/>
  <c r="T217" i="1"/>
  <c r="AC217" i="1" s="1"/>
  <c r="S217" i="1"/>
  <c r="R217" i="1"/>
  <c r="AA217" i="1" s="1"/>
  <c r="J217" i="1"/>
  <c r="G217" i="1"/>
  <c r="T216" i="1"/>
  <c r="AC216" i="1" s="1"/>
  <c r="S216" i="1"/>
  <c r="AB216" i="1" s="1"/>
  <c r="R216" i="1"/>
  <c r="AA216" i="1" s="1"/>
  <c r="J216" i="1"/>
  <c r="G216" i="1"/>
  <c r="T215" i="1"/>
  <c r="AC215" i="1" s="1"/>
  <c r="S215" i="1"/>
  <c r="R215" i="1"/>
  <c r="AA215" i="1" s="1"/>
  <c r="Q215" i="1"/>
  <c r="J215" i="1"/>
  <c r="P215" i="1" s="1"/>
  <c r="G215" i="1"/>
  <c r="T214" i="1"/>
  <c r="AC214" i="1" s="1"/>
  <c r="S214" i="1"/>
  <c r="AB214" i="1" s="1"/>
  <c r="R214" i="1"/>
  <c r="AA214" i="1" s="1"/>
  <c r="J214" i="1"/>
  <c r="G214" i="1"/>
  <c r="AB213" i="1"/>
  <c r="Y213" i="1"/>
  <c r="T213" i="1"/>
  <c r="AC213" i="1" s="1"/>
  <c r="S213" i="1"/>
  <c r="R213" i="1"/>
  <c r="AA213" i="1" s="1"/>
  <c r="P213" i="1"/>
  <c r="O213" i="1"/>
  <c r="J213" i="1"/>
  <c r="N213" i="1" s="1"/>
  <c r="G213" i="1"/>
  <c r="Q213" i="1" s="1"/>
  <c r="AC212" i="1"/>
  <c r="T212" i="1"/>
  <c r="S212" i="1"/>
  <c r="R212" i="1"/>
  <c r="AA212" i="1" s="1"/>
  <c r="J212" i="1"/>
  <c r="P212" i="1" s="1"/>
  <c r="G212" i="1"/>
  <c r="Q212" i="1" s="1"/>
  <c r="T211" i="1"/>
  <c r="AC211" i="1" s="1"/>
  <c r="S211" i="1"/>
  <c r="AB211" i="1" s="1"/>
  <c r="R211" i="1"/>
  <c r="AA211" i="1" s="1"/>
  <c r="J211" i="1"/>
  <c r="G211" i="1"/>
  <c r="T210" i="1"/>
  <c r="AC210" i="1" s="1"/>
  <c r="S210" i="1"/>
  <c r="AB210" i="1" s="1"/>
  <c r="R210" i="1"/>
  <c r="AA210" i="1" s="1"/>
  <c r="O210" i="1"/>
  <c r="N210" i="1"/>
  <c r="J210" i="1"/>
  <c r="P210" i="1" s="1"/>
  <c r="G210" i="1"/>
  <c r="Q210" i="1" s="1"/>
  <c r="AC209" i="1"/>
  <c r="T209" i="1"/>
  <c r="S209" i="1"/>
  <c r="R209" i="1"/>
  <c r="AA209" i="1" s="1"/>
  <c r="J209" i="1"/>
  <c r="P209" i="1" s="1"/>
  <c r="G209" i="1"/>
  <c r="Q209" i="1" s="1"/>
  <c r="T208" i="1"/>
  <c r="AC208" i="1" s="1"/>
  <c r="S208" i="1"/>
  <c r="R208" i="1"/>
  <c r="AA208" i="1" s="1"/>
  <c r="J208" i="1"/>
  <c r="G208" i="1"/>
  <c r="T207" i="1"/>
  <c r="AC207" i="1" s="1"/>
  <c r="S207" i="1"/>
  <c r="AB207" i="1" s="1"/>
  <c r="R207" i="1"/>
  <c r="AA207" i="1" s="1"/>
  <c r="Q207" i="1"/>
  <c r="P207" i="1"/>
  <c r="J207" i="1"/>
  <c r="O207" i="1" s="1"/>
  <c r="G207" i="1"/>
  <c r="T206" i="1"/>
  <c r="AC206" i="1" s="1"/>
  <c r="S206" i="1"/>
  <c r="AB206" i="1" s="1"/>
  <c r="R206" i="1"/>
  <c r="AA206" i="1" s="1"/>
  <c r="J206" i="1"/>
  <c r="G206" i="1"/>
  <c r="Q206" i="1" s="1"/>
  <c r="AB205" i="1"/>
  <c r="T205" i="1"/>
  <c r="AC205" i="1" s="1"/>
  <c r="S205" i="1"/>
  <c r="R205" i="1"/>
  <c r="AA205" i="1" s="1"/>
  <c r="J205" i="1"/>
  <c r="G205" i="1"/>
  <c r="AC204" i="1"/>
  <c r="AB204" i="1"/>
  <c r="T204" i="1"/>
  <c r="S204" i="1"/>
  <c r="R204" i="1"/>
  <c r="AA204" i="1" s="1"/>
  <c r="J204" i="1"/>
  <c r="Q204" i="1" s="1"/>
  <c r="G204" i="1"/>
  <c r="T203" i="1"/>
  <c r="AC203" i="1" s="1"/>
  <c r="S203" i="1"/>
  <c r="R203" i="1"/>
  <c r="AA203" i="1" s="1"/>
  <c r="J203" i="1"/>
  <c r="G203" i="1"/>
  <c r="T202" i="1"/>
  <c r="AC202" i="1" s="1"/>
  <c r="S202" i="1"/>
  <c r="R202" i="1"/>
  <c r="AA202" i="1" s="1"/>
  <c r="J202" i="1"/>
  <c r="P202" i="1" s="1"/>
  <c r="G202" i="1"/>
  <c r="AC201" i="1"/>
  <c r="T201" i="1"/>
  <c r="S201" i="1"/>
  <c r="AB201" i="1" s="1"/>
  <c r="R201" i="1"/>
  <c r="AA201" i="1" s="1"/>
  <c r="J201" i="1"/>
  <c r="G201" i="1"/>
  <c r="T200" i="1"/>
  <c r="AC200" i="1" s="1"/>
  <c r="S200" i="1"/>
  <c r="R200" i="1"/>
  <c r="AA200" i="1" s="1"/>
  <c r="J200" i="1"/>
  <c r="G200" i="1"/>
  <c r="AA199" i="1"/>
  <c r="T199" i="1"/>
  <c r="AC199" i="1" s="1"/>
  <c r="S199" i="1"/>
  <c r="R199" i="1"/>
  <c r="J199" i="1"/>
  <c r="G199" i="1"/>
  <c r="T198" i="1"/>
  <c r="AC198" i="1" s="1"/>
  <c r="S198" i="1"/>
  <c r="R198" i="1"/>
  <c r="AA198" i="1" s="1"/>
  <c r="Q198" i="1"/>
  <c r="O198" i="1"/>
  <c r="N198" i="1"/>
  <c r="J198" i="1"/>
  <c r="P198" i="1" s="1"/>
  <c r="G198" i="1"/>
  <c r="AC197" i="1"/>
  <c r="AA197" i="1"/>
  <c r="T197" i="1"/>
  <c r="S197" i="1"/>
  <c r="AB197" i="1" s="1"/>
  <c r="R197" i="1"/>
  <c r="P197" i="1"/>
  <c r="O197" i="1"/>
  <c r="J197" i="1"/>
  <c r="N197" i="1" s="1"/>
  <c r="G197" i="1"/>
  <c r="Q197" i="1" s="1"/>
  <c r="T196" i="1"/>
  <c r="AC196" i="1" s="1"/>
  <c r="S196" i="1"/>
  <c r="R196" i="1"/>
  <c r="AA196" i="1" s="1"/>
  <c r="J196" i="1"/>
  <c r="G196" i="1"/>
  <c r="AA195" i="1"/>
  <c r="T195" i="1"/>
  <c r="AC195" i="1" s="1"/>
  <c r="S195" i="1"/>
  <c r="R195" i="1"/>
  <c r="J195" i="1"/>
  <c r="G195" i="1"/>
  <c r="T194" i="1"/>
  <c r="AC194" i="1" s="1"/>
  <c r="S194" i="1"/>
  <c r="R194" i="1"/>
  <c r="AA194" i="1" s="1"/>
  <c r="O194" i="1"/>
  <c r="N194" i="1"/>
  <c r="J194" i="1"/>
  <c r="P194" i="1" s="1"/>
  <c r="G194" i="1"/>
  <c r="Q194" i="1" s="1"/>
  <c r="T193" i="1"/>
  <c r="AC193" i="1" s="1"/>
  <c r="S193" i="1"/>
  <c r="R193" i="1"/>
  <c r="AA193" i="1" s="1"/>
  <c r="J193" i="1"/>
  <c r="G193" i="1"/>
  <c r="T192" i="1"/>
  <c r="AC192" i="1" s="1"/>
  <c r="S192" i="1"/>
  <c r="AB192" i="1" s="1"/>
  <c r="R192" i="1"/>
  <c r="AA192" i="1" s="1"/>
  <c r="J192" i="1"/>
  <c r="P192" i="1" s="1"/>
  <c r="G192" i="1"/>
  <c r="Q192" i="1" s="1"/>
  <c r="T191" i="1"/>
  <c r="AC191" i="1" s="1"/>
  <c r="S191" i="1"/>
  <c r="AB191" i="1" s="1"/>
  <c r="R191" i="1"/>
  <c r="AA191" i="1" s="1"/>
  <c r="J191" i="1"/>
  <c r="G191" i="1"/>
  <c r="AB190" i="1"/>
  <c r="AA190" i="1"/>
  <c r="T190" i="1"/>
  <c r="AC190" i="1" s="1"/>
  <c r="S190" i="1"/>
  <c r="R190" i="1"/>
  <c r="P190" i="1"/>
  <c r="J190" i="1"/>
  <c r="G190" i="1"/>
  <c r="T189" i="1"/>
  <c r="AC189" i="1" s="1"/>
  <c r="S189" i="1"/>
  <c r="R189" i="1"/>
  <c r="AA189" i="1" s="1"/>
  <c r="J189" i="1"/>
  <c r="G189" i="1"/>
  <c r="AB188" i="1"/>
  <c r="T188" i="1"/>
  <c r="AC188" i="1" s="1"/>
  <c r="S188" i="1"/>
  <c r="R188" i="1"/>
  <c r="AA188" i="1" s="1"/>
  <c r="J188" i="1"/>
  <c r="Q188" i="1" s="1"/>
  <c r="G188" i="1"/>
  <c r="AC187" i="1"/>
  <c r="AB187" i="1"/>
  <c r="T187" i="1"/>
  <c r="S187" i="1"/>
  <c r="R187" i="1"/>
  <c r="AA187" i="1" s="1"/>
  <c r="J187" i="1"/>
  <c r="G187" i="1"/>
  <c r="T186" i="1"/>
  <c r="AC186" i="1" s="1"/>
  <c r="S186" i="1"/>
  <c r="R186" i="1"/>
  <c r="AA186" i="1" s="1"/>
  <c r="J186" i="1"/>
  <c r="G186" i="1"/>
  <c r="T185" i="1"/>
  <c r="AC185" i="1" s="1"/>
  <c r="S185" i="1"/>
  <c r="AB185" i="1" s="1"/>
  <c r="R185" i="1"/>
  <c r="AA185" i="1" s="1"/>
  <c r="J185" i="1"/>
  <c r="G185" i="1"/>
  <c r="T184" i="1"/>
  <c r="AC184" i="1" s="1"/>
  <c r="S184" i="1"/>
  <c r="R184" i="1"/>
  <c r="AA184" i="1" s="1"/>
  <c r="Q184" i="1"/>
  <c r="J184" i="1"/>
  <c r="O184" i="1" s="1"/>
  <c r="G184" i="1"/>
  <c r="T183" i="1"/>
  <c r="AC183" i="1" s="1"/>
  <c r="S183" i="1"/>
  <c r="AB183" i="1" s="1"/>
  <c r="R183" i="1"/>
  <c r="AA183" i="1" s="1"/>
  <c r="P183" i="1"/>
  <c r="O183" i="1"/>
  <c r="J183" i="1"/>
  <c r="N183" i="1" s="1"/>
  <c r="G183" i="1"/>
  <c r="Q183" i="1" s="1"/>
  <c r="AC182" i="1"/>
  <c r="AB182" i="1"/>
  <c r="T182" i="1"/>
  <c r="S182" i="1"/>
  <c r="R182" i="1"/>
  <c r="AA182" i="1" s="1"/>
  <c r="J182" i="1"/>
  <c r="G182" i="1"/>
  <c r="AC181" i="1"/>
  <c r="AB181" i="1"/>
  <c r="T181" i="1"/>
  <c r="S181" i="1"/>
  <c r="R181" i="1"/>
  <c r="AA181" i="1" s="1"/>
  <c r="Q181" i="1"/>
  <c r="J181" i="1"/>
  <c r="G181" i="1"/>
  <c r="AC180" i="1"/>
  <c r="T180" i="1"/>
  <c r="S180" i="1"/>
  <c r="R180" i="1"/>
  <c r="AA180" i="1" s="1"/>
  <c r="P180" i="1"/>
  <c r="J180" i="1"/>
  <c r="G180" i="1"/>
  <c r="T179" i="1"/>
  <c r="AC179" i="1" s="1"/>
  <c r="S179" i="1"/>
  <c r="AB180" i="1" s="1"/>
  <c r="R179" i="1"/>
  <c r="AA179" i="1" s="1"/>
  <c r="J179" i="1"/>
  <c r="P179" i="1" s="1"/>
  <c r="G179" i="1"/>
  <c r="T178" i="1"/>
  <c r="AC178" i="1" s="1"/>
  <c r="S178" i="1"/>
  <c r="R178" i="1"/>
  <c r="AA178" i="1" s="1"/>
  <c r="J178" i="1"/>
  <c r="G178" i="1"/>
  <c r="T177" i="1"/>
  <c r="AC177" i="1" s="1"/>
  <c r="S177" i="1"/>
  <c r="AB177" i="1" s="1"/>
  <c r="R177" i="1"/>
  <c r="AA177" i="1" s="1"/>
  <c r="J177" i="1"/>
  <c r="G177" i="1"/>
  <c r="T176" i="1"/>
  <c r="AC176" i="1" s="1"/>
  <c r="S176" i="1"/>
  <c r="AB176" i="1" s="1"/>
  <c r="R176" i="1"/>
  <c r="AA176" i="1" s="1"/>
  <c r="J176" i="1"/>
  <c r="G176" i="1"/>
  <c r="AA175" i="1"/>
  <c r="T175" i="1"/>
  <c r="AC175" i="1" s="1"/>
  <c r="S175" i="1"/>
  <c r="R175" i="1"/>
  <c r="N175" i="1"/>
  <c r="J175" i="1"/>
  <c r="G175" i="1"/>
  <c r="Q175" i="1" s="1"/>
  <c r="AB174" i="1"/>
  <c r="T174" i="1"/>
  <c r="AC174" i="1" s="1"/>
  <c r="S174" i="1"/>
  <c r="R174" i="1"/>
  <c r="AA174" i="1" s="1"/>
  <c r="O174" i="1"/>
  <c r="N174" i="1"/>
  <c r="W174" i="1" s="1"/>
  <c r="J174" i="1"/>
  <c r="P174" i="1" s="1"/>
  <c r="G174" i="1"/>
  <c r="Q174" i="1" s="1"/>
  <c r="T173" i="1"/>
  <c r="AC173" i="1" s="1"/>
  <c r="S173" i="1"/>
  <c r="R173" i="1"/>
  <c r="AA173" i="1" s="1"/>
  <c r="J173" i="1"/>
  <c r="N173" i="1" s="1"/>
  <c r="G173" i="1"/>
  <c r="Q173" i="1" s="1"/>
  <c r="T172" i="1"/>
  <c r="AC172" i="1" s="1"/>
  <c r="S172" i="1"/>
  <c r="AB172" i="1" s="1"/>
  <c r="R172" i="1"/>
  <c r="AA172" i="1" s="1"/>
  <c r="J172" i="1"/>
  <c r="G172" i="1"/>
  <c r="AA171" i="1"/>
  <c r="T171" i="1"/>
  <c r="AC171" i="1" s="1"/>
  <c r="S171" i="1"/>
  <c r="R171" i="1"/>
  <c r="O171" i="1"/>
  <c r="J171" i="1"/>
  <c r="P171" i="1" s="1"/>
  <c r="G171" i="1"/>
  <c r="Q171" i="1" s="1"/>
  <c r="T170" i="1"/>
  <c r="AC170" i="1" s="1"/>
  <c r="S170" i="1"/>
  <c r="R170" i="1"/>
  <c r="AA170" i="1" s="1"/>
  <c r="P170" i="1"/>
  <c r="J170" i="1"/>
  <c r="N170" i="1" s="1"/>
  <c r="G170" i="1"/>
  <c r="Q170" i="1" s="1"/>
  <c r="T169" i="1"/>
  <c r="AC169" i="1" s="1"/>
  <c r="S169" i="1"/>
  <c r="R169" i="1"/>
  <c r="AA169" i="1" s="1"/>
  <c r="Q169" i="1"/>
  <c r="J169" i="1"/>
  <c r="O169" i="1" s="1"/>
  <c r="G169" i="1"/>
  <c r="T168" i="1"/>
  <c r="AC168" i="1" s="1"/>
  <c r="S168" i="1"/>
  <c r="AB169" i="1" s="1"/>
  <c r="R168" i="1"/>
  <c r="AA168" i="1" s="1"/>
  <c r="J168" i="1"/>
  <c r="G168" i="1"/>
  <c r="AA167" i="1"/>
  <c r="T167" i="1"/>
  <c r="AC167" i="1" s="1"/>
  <c r="S167" i="1"/>
  <c r="R167" i="1"/>
  <c r="J167" i="1"/>
  <c r="G167" i="1"/>
  <c r="AC166" i="1"/>
  <c r="T166" i="1"/>
  <c r="S166" i="1"/>
  <c r="R166" i="1"/>
  <c r="AA166" i="1" s="1"/>
  <c r="J166" i="1"/>
  <c r="P166" i="1" s="1"/>
  <c r="G166" i="1"/>
  <c r="Q166" i="1" s="1"/>
  <c r="T165" i="1"/>
  <c r="AC165" i="1" s="1"/>
  <c r="S165" i="1"/>
  <c r="AB165" i="1" s="1"/>
  <c r="R165" i="1"/>
  <c r="AA165" i="1" s="1"/>
  <c r="J165" i="1"/>
  <c r="G165" i="1"/>
  <c r="T164" i="1"/>
  <c r="AC164" i="1" s="1"/>
  <c r="S164" i="1"/>
  <c r="AB164" i="1" s="1"/>
  <c r="R164" i="1"/>
  <c r="AA164" i="1" s="1"/>
  <c r="P164" i="1"/>
  <c r="O164" i="1"/>
  <c r="J164" i="1"/>
  <c r="N164" i="1" s="1"/>
  <c r="G164" i="1"/>
  <c r="Q164" i="1" s="1"/>
  <c r="T163" i="1"/>
  <c r="AC163" i="1" s="1"/>
  <c r="S163" i="1"/>
  <c r="R163" i="1"/>
  <c r="AA163" i="1" s="1"/>
  <c r="P163" i="1"/>
  <c r="N163" i="1"/>
  <c r="W163" i="1" s="1"/>
  <c r="J163" i="1"/>
  <c r="O163" i="1" s="1"/>
  <c r="X163" i="1" s="1"/>
  <c r="G163" i="1"/>
  <c r="Q163" i="1" s="1"/>
  <c r="T162" i="1"/>
  <c r="AC162" i="1" s="1"/>
  <c r="S162" i="1"/>
  <c r="R162" i="1"/>
  <c r="AA162" i="1" s="1"/>
  <c r="P162" i="1"/>
  <c r="O162" i="1"/>
  <c r="X162" i="1" s="1"/>
  <c r="J162" i="1"/>
  <c r="N162" i="1" s="1"/>
  <c r="G162" i="1"/>
  <c r="Q162" i="1" s="1"/>
  <c r="AC161" i="1"/>
  <c r="T161" i="1"/>
  <c r="S161" i="1"/>
  <c r="R161" i="1"/>
  <c r="AA161" i="1" s="1"/>
  <c r="J161" i="1"/>
  <c r="O161" i="1" s="1"/>
  <c r="G161" i="1"/>
  <c r="Q161" i="1" s="1"/>
  <c r="T160" i="1"/>
  <c r="AC160" i="1" s="1"/>
  <c r="S160" i="1"/>
  <c r="AB161" i="1" s="1"/>
  <c r="R160" i="1"/>
  <c r="AA160" i="1" s="1"/>
  <c r="J160" i="1"/>
  <c r="G160" i="1"/>
  <c r="T159" i="1"/>
  <c r="AC159" i="1" s="1"/>
  <c r="S159" i="1"/>
  <c r="AB160" i="1" s="1"/>
  <c r="R159" i="1"/>
  <c r="AA159" i="1" s="1"/>
  <c r="J159" i="1"/>
  <c r="G159" i="1"/>
  <c r="Q159" i="1" s="1"/>
  <c r="T158" i="1"/>
  <c r="AC158" i="1" s="1"/>
  <c r="S158" i="1"/>
  <c r="AB158" i="1" s="1"/>
  <c r="R158" i="1"/>
  <c r="AA158" i="1" s="1"/>
  <c r="J158" i="1"/>
  <c r="P158" i="1" s="1"/>
  <c r="G158" i="1"/>
  <c r="AC157" i="1"/>
  <c r="T157" i="1"/>
  <c r="S157" i="1"/>
  <c r="R157" i="1"/>
  <c r="AA157" i="1" s="1"/>
  <c r="J157" i="1"/>
  <c r="G157" i="1"/>
  <c r="T156" i="1"/>
  <c r="AC156" i="1" s="1"/>
  <c r="S156" i="1"/>
  <c r="AB156" i="1" s="1"/>
  <c r="R156" i="1"/>
  <c r="AA156" i="1" s="1"/>
  <c r="J156" i="1"/>
  <c r="G156" i="1"/>
  <c r="AA155" i="1"/>
  <c r="T155" i="1"/>
  <c r="AC155" i="1" s="1"/>
  <c r="S155" i="1"/>
  <c r="R155" i="1"/>
  <c r="O155" i="1"/>
  <c r="J155" i="1"/>
  <c r="P155" i="1" s="1"/>
  <c r="G155" i="1"/>
  <c r="Q155" i="1" s="1"/>
  <c r="T154" i="1"/>
  <c r="AC154" i="1" s="1"/>
  <c r="S154" i="1"/>
  <c r="R154" i="1"/>
  <c r="AA154" i="1" s="1"/>
  <c r="P154" i="1"/>
  <c r="J154" i="1"/>
  <c r="N154" i="1" s="1"/>
  <c r="G154" i="1"/>
  <c r="Q154" i="1" s="1"/>
  <c r="T153" i="1"/>
  <c r="AC153" i="1" s="1"/>
  <c r="S153" i="1"/>
  <c r="R153" i="1"/>
  <c r="AA153" i="1" s="1"/>
  <c r="J153" i="1"/>
  <c r="G153" i="1"/>
  <c r="Q153" i="1" s="1"/>
  <c r="T152" i="1"/>
  <c r="AC152" i="1" s="1"/>
  <c r="S152" i="1"/>
  <c r="R152" i="1"/>
  <c r="AA152" i="1" s="1"/>
  <c r="J152" i="1"/>
  <c r="G152" i="1"/>
  <c r="T151" i="1"/>
  <c r="AC151" i="1" s="1"/>
  <c r="S151" i="1"/>
  <c r="R151" i="1"/>
  <c r="AA151" i="1" s="1"/>
  <c r="J151" i="1"/>
  <c r="O151" i="1" s="1"/>
  <c r="G151" i="1"/>
  <c r="T150" i="1"/>
  <c r="AC150" i="1" s="1"/>
  <c r="S150" i="1"/>
  <c r="R150" i="1"/>
  <c r="AA150" i="1" s="1"/>
  <c r="J150" i="1"/>
  <c r="G150" i="1"/>
  <c r="Q150" i="1" s="1"/>
  <c r="T149" i="1"/>
  <c r="AC149" i="1" s="1"/>
  <c r="S149" i="1"/>
  <c r="R149" i="1"/>
  <c r="AA149" i="1" s="1"/>
  <c r="Q149" i="1"/>
  <c r="P149" i="1"/>
  <c r="Y149" i="1" s="1"/>
  <c r="J149" i="1"/>
  <c r="O149" i="1" s="1"/>
  <c r="G149" i="1"/>
  <c r="T148" i="1"/>
  <c r="AC148" i="1" s="1"/>
  <c r="S148" i="1"/>
  <c r="AB148" i="1" s="1"/>
  <c r="R148" i="1"/>
  <c r="AA148" i="1" s="1"/>
  <c r="Q148" i="1"/>
  <c r="P148" i="1"/>
  <c r="Y148" i="1" s="1"/>
  <c r="J148" i="1"/>
  <c r="O148" i="1" s="1"/>
  <c r="G148" i="1"/>
  <c r="T147" i="1"/>
  <c r="AC147" i="1" s="1"/>
  <c r="S147" i="1"/>
  <c r="AB147" i="1" s="1"/>
  <c r="R147" i="1"/>
  <c r="AA147" i="1" s="1"/>
  <c r="N147" i="1"/>
  <c r="J147" i="1"/>
  <c r="P147" i="1" s="1"/>
  <c r="G147" i="1"/>
  <c r="AA146" i="1"/>
  <c r="T146" i="1"/>
  <c r="AC146" i="1" s="1"/>
  <c r="S146" i="1"/>
  <c r="AB146" i="1" s="1"/>
  <c r="R146" i="1"/>
  <c r="J146" i="1"/>
  <c r="G146" i="1"/>
  <c r="T145" i="1"/>
  <c r="AC145" i="1" s="1"/>
  <c r="S145" i="1"/>
  <c r="AB145" i="1" s="1"/>
  <c r="R145" i="1"/>
  <c r="AA145" i="1" s="1"/>
  <c r="P145" i="1"/>
  <c r="Y145" i="1" s="1"/>
  <c r="J145" i="1"/>
  <c r="G145" i="1"/>
  <c r="T144" i="1"/>
  <c r="AC144" i="1" s="1"/>
  <c r="S144" i="1"/>
  <c r="AB144" i="1" s="1"/>
  <c r="R144" i="1"/>
  <c r="AA144" i="1" s="1"/>
  <c r="O144" i="1"/>
  <c r="J144" i="1"/>
  <c r="P144" i="1" s="1"/>
  <c r="G144" i="1"/>
  <c r="Q144" i="1" s="1"/>
  <c r="T143" i="1"/>
  <c r="AC143" i="1" s="1"/>
  <c r="S143" i="1"/>
  <c r="AB143" i="1" s="1"/>
  <c r="R143" i="1"/>
  <c r="AA143" i="1" s="1"/>
  <c r="P143" i="1"/>
  <c r="J143" i="1"/>
  <c r="G143" i="1"/>
  <c r="T142" i="1"/>
  <c r="AC142" i="1" s="1"/>
  <c r="S142" i="1"/>
  <c r="R142" i="1"/>
  <c r="AA142" i="1" s="1"/>
  <c r="J142" i="1"/>
  <c r="G142" i="1"/>
  <c r="T141" i="1"/>
  <c r="AC141" i="1" s="1"/>
  <c r="S141" i="1"/>
  <c r="R141" i="1"/>
  <c r="AA141" i="1" s="1"/>
  <c r="J141" i="1"/>
  <c r="G141" i="1"/>
  <c r="T140" i="1"/>
  <c r="AC140" i="1" s="1"/>
  <c r="S140" i="1"/>
  <c r="R140" i="1"/>
  <c r="AA140" i="1" s="1"/>
  <c r="J140" i="1"/>
  <c r="G140" i="1"/>
  <c r="T139" i="1"/>
  <c r="AC139" i="1" s="1"/>
  <c r="S139" i="1"/>
  <c r="AB139" i="1" s="1"/>
  <c r="R139" i="1"/>
  <c r="AA139" i="1" s="1"/>
  <c r="J139" i="1"/>
  <c r="P139" i="1" s="1"/>
  <c r="G139" i="1"/>
  <c r="AA138" i="1"/>
  <c r="T138" i="1"/>
  <c r="AC138" i="1" s="1"/>
  <c r="S138" i="1"/>
  <c r="R138" i="1"/>
  <c r="J138" i="1"/>
  <c r="G138" i="1"/>
  <c r="T137" i="1"/>
  <c r="AC137" i="1" s="1"/>
  <c r="S137" i="1"/>
  <c r="AB137" i="1" s="1"/>
  <c r="R137" i="1"/>
  <c r="AA137" i="1" s="1"/>
  <c r="P137" i="1"/>
  <c r="O137" i="1"/>
  <c r="N137" i="1"/>
  <c r="J137" i="1"/>
  <c r="G137" i="1"/>
  <c r="Q137" i="1" s="1"/>
  <c r="T136" i="1"/>
  <c r="AC136" i="1" s="1"/>
  <c r="S136" i="1"/>
  <c r="R136" i="1"/>
  <c r="AA136" i="1" s="1"/>
  <c r="O136" i="1"/>
  <c r="J136" i="1"/>
  <c r="G136" i="1"/>
  <c r="T135" i="1"/>
  <c r="AC135" i="1" s="1"/>
  <c r="S135" i="1"/>
  <c r="R135" i="1"/>
  <c r="AA135" i="1" s="1"/>
  <c r="J135" i="1"/>
  <c r="G135" i="1"/>
  <c r="T134" i="1"/>
  <c r="AC134" i="1" s="1"/>
  <c r="S134" i="1"/>
  <c r="R134" i="1"/>
  <c r="AA134" i="1" s="1"/>
  <c r="P134" i="1"/>
  <c r="O134" i="1"/>
  <c r="N134" i="1"/>
  <c r="W134" i="1" s="1"/>
  <c r="J134" i="1"/>
  <c r="G134" i="1"/>
  <c r="Q134" i="1" s="1"/>
  <c r="T133" i="1"/>
  <c r="AC133" i="1" s="1"/>
  <c r="S133" i="1"/>
  <c r="R133" i="1"/>
  <c r="AA133" i="1" s="1"/>
  <c r="O133" i="1"/>
  <c r="J133" i="1"/>
  <c r="N133" i="1" s="1"/>
  <c r="G133" i="1"/>
  <c r="T132" i="1"/>
  <c r="AC132" i="1" s="1"/>
  <c r="S132" i="1"/>
  <c r="R132" i="1"/>
  <c r="AA132" i="1" s="1"/>
  <c r="J132" i="1"/>
  <c r="G132" i="1"/>
  <c r="Q132" i="1" s="1"/>
  <c r="T131" i="1"/>
  <c r="AC131" i="1" s="1"/>
  <c r="S131" i="1"/>
  <c r="R131" i="1"/>
  <c r="AA131" i="1" s="1"/>
  <c r="N131" i="1"/>
  <c r="J131" i="1"/>
  <c r="P131" i="1" s="1"/>
  <c r="G131" i="1"/>
  <c r="Q131" i="1" s="1"/>
  <c r="AB130" i="1"/>
  <c r="T130" i="1"/>
  <c r="AC130" i="1" s="1"/>
  <c r="S130" i="1"/>
  <c r="R130" i="1"/>
  <c r="AA130" i="1" s="1"/>
  <c r="J130" i="1"/>
  <c r="G130" i="1"/>
  <c r="AB129" i="1"/>
  <c r="T129" i="1"/>
  <c r="AC129" i="1" s="1"/>
  <c r="S129" i="1"/>
  <c r="R129" i="1"/>
  <c r="AA129" i="1" s="1"/>
  <c r="P129" i="1"/>
  <c r="O129" i="1"/>
  <c r="J129" i="1"/>
  <c r="N129" i="1" s="1"/>
  <c r="G129" i="1"/>
  <c r="Q129" i="1" s="1"/>
  <c r="T128" i="1"/>
  <c r="AC128" i="1" s="1"/>
  <c r="S128" i="1"/>
  <c r="R128" i="1"/>
  <c r="AA128" i="1" s="1"/>
  <c r="J128" i="1"/>
  <c r="G128" i="1"/>
  <c r="Q128" i="1" s="1"/>
  <c r="T127" i="1"/>
  <c r="AC127" i="1" s="1"/>
  <c r="S127" i="1"/>
  <c r="R127" i="1"/>
  <c r="AA127" i="1" s="1"/>
  <c r="N127" i="1"/>
  <c r="J127" i="1"/>
  <c r="P127" i="1" s="1"/>
  <c r="Y127" i="1" s="1"/>
  <c r="G127" i="1"/>
  <c r="T126" i="1"/>
  <c r="AC126" i="1" s="1"/>
  <c r="S126" i="1"/>
  <c r="AB126" i="1" s="1"/>
  <c r="R126" i="1"/>
  <c r="AA126" i="1" s="1"/>
  <c r="P126" i="1"/>
  <c r="O126" i="1"/>
  <c r="N126" i="1"/>
  <c r="W126" i="1" s="1"/>
  <c r="J126" i="1"/>
  <c r="G126" i="1"/>
  <c r="Q126" i="1" s="1"/>
  <c r="AC125" i="1"/>
  <c r="T125" i="1"/>
  <c r="S125" i="1"/>
  <c r="R125" i="1"/>
  <c r="AA125" i="1" s="1"/>
  <c r="P125" i="1"/>
  <c r="O125" i="1"/>
  <c r="J125" i="1"/>
  <c r="N125" i="1" s="1"/>
  <c r="G125" i="1"/>
  <c r="Q125" i="1" s="1"/>
  <c r="T124" i="1"/>
  <c r="AC124" i="1" s="1"/>
  <c r="S124" i="1"/>
  <c r="R124" i="1"/>
  <c r="AA124" i="1" s="1"/>
  <c r="J124" i="1"/>
  <c r="G124" i="1"/>
  <c r="Q124" i="1" s="1"/>
  <c r="AA123" i="1"/>
  <c r="T123" i="1"/>
  <c r="AC123" i="1" s="1"/>
  <c r="S123" i="1"/>
  <c r="R123" i="1"/>
  <c r="J123" i="1"/>
  <c r="G123" i="1"/>
  <c r="T122" i="1"/>
  <c r="AC122" i="1" s="1"/>
  <c r="S122" i="1"/>
  <c r="AB122" i="1" s="1"/>
  <c r="R122" i="1"/>
  <c r="AA122" i="1" s="1"/>
  <c r="O122" i="1"/>
  <c r="J122" i="1"/>
  <c r="P122" i="1" s="1"/>
  <c r="G122" i="1"/>
  <c r="Q122" i="1" s="1"/>
  <c r="AB121" i="1"/>
  <c r="W121" i="1"/>
  <c r="T121" i="1"/>
  <c r="AC121" i="1" s="1"/>
  <c r="S121" i="1"/>
  <c r="R121" i="1"/>
  <c r="AA121" i="1" s="1"/>
  <c r="P121" i="1"/>
  <c r="O121" i="1"/>
  <c r="J121" i="1"/>
  <c r="N121" i="1" s="1"/>
  <c r="G121" i="1"/>
  <c r="Q121" i="1" s="1"/>
  <c r="T120" i="1"/>
  <c r="AC120" i="1" s="1"/>
  <c r="S120" i="1"/>
  <c r="R120" i="1"/>
  <c r="AA120" i="1" s="1"/>
  <c r="J120" i="1"/>
  <c r="N120" i="1" s="1"/>
  <c r="G120" i="1"/>
  <c r="Q120" i="1" s="1"/>
  <c r="T119" i="1"/>
  <c r="AC119" i="1" s="1"/>
  <c r="S119" i="1"/>
  <c r="AB119" i="1" s="1"/>
  <c r="R119" i="1"/>
  <c r="AA119" i="1" s="1"/>
  <c r="J119" i="1"/>
  <c r="G119" i="1"/>
  <c r="T118" i="1"/>
  <c r="AC118" i="1" s="1"/>
  <c r="S118" i="1"/>
  <c r="R118" i="1"/>
  <c r="AA118" i="1" s="1"/>
  <c r="P118" i="1"/>
  <c r="O118" i="1"/>
  <c r="J118" i="1"/>
  <c r="N118" i="1" s="1"/>
  <c r="W118" i="1" s="1"/>
  <c r="G118" i="1"/>
  <c r="Q118" i="1" s="1"/>
  <c r="T117" i="1"/>
  <c r="AC117" i="1" s="1"/>
  <c r="S117" i="1"/>
  <c r="AB117" i="1" s="1"/>
  <c r="R117" i="1"/>
  <c r="AA117" i="1" s="1"/>
  <c r="P117" i="1"/>
  <c r="J117" i="1"/>
  <c r="N117" i="1" s="1"/>
  <c r="G117" i="1"/>
  <c r="Q117" i="1" s="1"/>
  <c r="T116" i="1"/>
  <c r="AC116" i="1" s="1"/>
  <c r="S116" i="1"/>
  <c r="AB116" i="1" s="1"/>
  <c r="R116" i="1"/>
  <c r="AA116" i="1" s="1"/>
  <c r="J116" i="1"/>
  <c r="P116" i="1" s="1"/>
  <c r="G116" i="1"/>
  <c r="Q116" i="1" s="1"/>
  <c r="T115" i="1"/>
  <c r="AC115" i="1" s="1"/>
  <c r="S115" i="1"/>
  <c r="AB115" i="1" s="1"/>
  <c r="R115" i="1"/>
  <c r="AA115" i="1" s="1"/>
  <c r="J115" i="1"/>
  <c r="G115" i="1"/>
  <c r="T114" i="1"/>
  <c r="AC114" i="1" s="1"/>
  <c r="S114" i="1"/>
  <c r="AB114" i="1" s="1"/>
  <c r="R114" i="1"/>
  <c r="AA114" i="1" s="1"/>
  <c r="O114" i="1"/>
  <c r="N114" i="1"/>
  <c r="W114" i="1" s="1"/>
  <c r="J114" i="1"/>
  <c r="P114" i="1" s="1"/>
  <c r="G114" i="1"/>
  <c r="Q114" i="1" s="1"/>
  <c r="T113" i="1"/>
  <c r="AC113" i="1" s="1"/>
  <c r="S113" i="1"/>
  <c r="R113" i="1"/>
  <c r="AA113" i="1" s="1"/>
  <c r="P113" i="1"/>
  <c r="O113" i="1"/>
  <c r="J113" i="1"/>
  <c r="N113" i="1" s="1"/>
  <c r="G113" i="1"/>
  <c r="Q113" i="1" s="1"/>
  <c r="AC112" i="1"/>
  <c r="T112" i="1"/>
  <c r="S112" i="1"/>
  <c r="AB112" i="1" s="1"/>
  <c r="R112" i="1"/>
  <c r="AA112" i="1" s="1"/>
  <c r="J112" i="1"/>
  <c r="G112" i="1"/>
  <c r="T111" i="1"/>
  <c r="AC111" i="1" s="1"/>
  <c r="S111" i="1"/>
  <c r="R111" i="1"/>
  <c r="AA111" i="1" s="1"/>
  <c r="N111" i="1"/>
  <c r="W111" i="1" s="1"/>
  <c r="J111" i="1"/>
  <c r="O111" i="1" s="1"/>
  <c r="G111" i="1"/>
  <c r="Q111" i="1" s="1"/>
  <c r="AA110" i="1"/>
  <c r="T110" i="1"/>
  <c r="AC110" i="1" s="1"/>
  <c r="S110" i="1"/>
  <c r="R110" i="1"/>
  <c r="O110" i="1"/>
  <c r="N110" i="1"/>
  <c r="J110" i="1"/>
  <c r="P110" i="1" s="1"/>
  <c r="G110" i="1"/>
  <c r="Q110" i="1" s="1"/>
  <c r="T109" i="1"/>
  <c r="AC109" i="1" s="1"/>
  <c r="S109" i="1"/>
  <c r="R109" i="1"/>
  <c r="AA109" i="1" s="1"/>
  <c r="J109" i="1"/>
  <c r="N109" i="1" s="1"/>
  <c r="G109" i="1"/>
  <c r="T108" i="1"/>
  <c r="AC108" i="1" s="1"/>
  <c r="S108" i="1"/>
  <c r="R108" i="1"/>
  <c r="AA108" i="1" s="1"/>
  <c r="J108" i="1"/>
  <c r="G108" i="1"/>
  <c r="Q108" i="1" s="1"/>
  <c r="T107" i="1"/>
  <c r="AC107" i="1" s="1"/>
  <c r="S107" i="1"/>
  <c r="AB107" i="1" s="1"/>
  <c r="R107" i="1"/>
  <c r="AA107" i="1" s="1"/>
  <c r="O107" i="1"/>
  <c r="N107" i="1"/>
  <c r="J107" i="1"/>
  <c r="P107" i="1" s="1"/>
  <c r="G107" i="1"/>
  <c r="Q107" i="1" s="1"/>
  <c r="AC106" i="1"/>
  <c r="AB106" i="1"/>
  <c r="T106" i="1"/>
  <c r="S106" i="1"/>
  <c r="R106" i="1"/>
  <c r="AA106" i="1" s="1"/>
  <c r="J106" i="1"/>
  <c r="G106" i="1"/>
  <c r="AC105" i="1"/>
  <c r="AB105" i="1"/>
  <c r="T105" i="1"/>
  <c r="S105" i="1"/>
  <c r="R105" i="1"/>
  <c r="AA105" i="1" s="1"/>
  <c r="P105" i="1"/>
  <c r="J105" i="1"/>
  <c r="G105" i="1"/>
  <c r="AC104" i="1"/>
  <c r="T104" i="1"/>
  <c r="S104" i="1"/>
  <c r="R104" i="1"/>
  <c r="AA104" i="1" s="1"/>
  <c r="J104" i="1"/>
  <c r="G104" i="1"/>
  <c r="T103" i="1"/>
  <c r="AC103" i="1" s="1"/>
  <c r="S103" i="1"/>
  <c r="AB103" i="1" s="1"/>
  <c r="R103" i="1"/>
  <c r="AA103" i="1" s="1"/>
  <c r="J103" i="1"/>
  <c r="G103" i="1"/>
  <c r="AB102" i="1"/>
  <c r="T102" i="1"/>
  <c r="AC102" i="1" s="1"/>
  <c r="S102" i="1"/>
  <c r="R102" i="1"/>
  <c r="AA102" i="1" s="1"/>
  <c r="O102" i="1"/>
  <c r="N102" i="1"/>
  <c r="J102" i="1"/>
  <c r="P102" i="1" s="1"/>
  <c r="G102" i="1"/>
  <c r="Q102" i="1" s="1"/>
  <c r="AC101" i="1"/>
  <c r="T101" i="1"/>
  <c r="S101" i="1"/>
  <c r="AB101" i="1" s="1"/>
  <c r="R101" i="1"/>
  <c r="AA101" i="1" s="1"/>
  <c r="O101" i="1"/>
  <c r="J101" i="1"/>
  <c r="G101" i="1"/>
  <c r="Q101" i="1" s="1"/>
  <c r="T100" i="1"/>
  <c r="AC100" i="1" s="1"/>
  <c r="S100" i="1"/>
  <c r="R100" i="1"/>
  <c r="AA100" i="1" s="1"/>
  <c r="J100" i="1"/>
  <c r="N100" i="1" s="1"/>
  <c r="G100" i="1"/>
  <c r="T99" i="1"/>
  <c r="AC99" i="1" s="1"/>
  <c r="S99" i="1"/>
  <c r="R99" i="1"/>
  <c r="AA99" i="1" s="1"/>
  <c r="J99" i="1"/>
  <c r="G99" i="1"/>
  <c r="AB98" i="1"/>
  <c r="T98" i="1"/>
  <c r="AC98" i="1" s="1"/>
  <c r="S98" i="1"/>
  <c r="R98" i="1"/>
  <c r="AA98" i="1" s="1"/>
  <c r="J98" i="1"/>
  <c r="P98" i="1" s="1"/>
  <c r="G98" i="1"/>
  <c r="T97" i="1"/>
  <c r="AC97" i="1" s="1"/>
  <c r="S97" i="1"/>
  <c r="AB97" i="1" s="1"/>
  <c r="R97" i="1"/>
  <c r="AA97" i="1" s="1"/>
  <c r="J97" i="1"/>
  <c r="P97" i="1" s="1"/>
  <c r="G97" i="1"/>
  <c r="Q97" i="1" s="1"/>
  <c r="T96" i="1"/>
  <c r="AC96" i="1" s="1"/>
  <c r="S96" i="1"/>
  <c r="R96" i="1"/>
  <c r="AA96" i="1" s="1"/>
  <c r="J96" i="1"/>
  <c r="P96" i="1" s="1"/>
  <c r="Y96" i="1" s="1"/>
  <c r="G96" i="1"/>
  <c r="T95" i="1"/>
  <c r="AC95" i="1" s="1"/>
  <c r="S95" i="1"/>
  <c r="AB95" i="1" s="1"/>
  <c r="R95" i="1"/>
  <c r="AA95" i="1" s="1"/>
  <c r="J95" i="1"/>
  <c r="P95" i="1" s="1"/>
  <c r="G95" i="1"/>
  <c r="Q95" i="1" s="1"/>
  <c r="AA94" i="1"/>
  <c r="T94" i="1"/>
  <c r="AC94" i="1" s="1"/>
  <c r="S94" i="1"/>
  <c r="R94" i="1"/>
  <c r="Q94" i="1"/>
  <c r="N94" i="1"/>
  <c r="J94" i="1"/>
  <c r="G94" i="1"/>
  <c r="T93" i="1"/>
  <c r="AC93" i="1" s="1"/>
  <c r="S93" i="1"/>
  <c r="R93" i="1"/>
  <c r="AA93" i="1" s="1"/>
  <c r="J93" i="1"/>
  <c r="P93" i="1" s="1"/>
  <c r="G93" i="1"/>
  <c r="Q93" i="1" s="1"/>
  <c r="T92" i="1"/>
  <c r="AC92" i="1" s="1"/>
  <c r="S92" i="1"/>
  <c r="R92" i="1"/>
  <c r="AA92" i="1" s="1"/>
  <c r="J92" i="1"/>
  <c r="G92" i="1"/>
  <c r="Q92" i="1" s="1"/>
  <c r="T91" i="1"/>
  <c r="AC91" i="1" s="1"/>
  <c r="S91" i="1"/>
  <c r="AB91" i="1" s="1"/>
  <c r="R91" i="1"/>
  <c r="AA91" i="1" s="1"/>
  <c r="O91" i="1"/>
  <c r="X91" i="1" s="1"/>
  <c r="J91" i="1"/>
  <c r="P91" i="1" s="1"/>
  <c r="G91" i="1"/>
  <c r="Q91" i="1" s="1"/>
  <c r="T90" i="1"/>
  <c r="AC90" i="1" s="1"/>
  <c r="S90" i="1"/>
  <c r="R90" i="1"/>
  <c r="AA90" i="1" s="1"/>
  <c r="P90" i="1"/>
  <c r="O90" i="1"/>
  <c r="J90" i="1"/>
  <c r="N90" i="1" s="1"/>
  <c r="G90" i="1"/>
  <c r="Q90" i="1" s="1"/>
  <c r="T89" i="1"/>
  <c r="AC89" i="1" s="1"/>
  <c r="S89" i="1"/>
  <c r="R89" i="1"/>
  <c r="AA89" i="1" s="1"/>
  <c r="J89" i="1"/>
  <c r="P89" i="1" s="1"/>
  <c r="Y89" i="1" s="1"/>
  <c r="G89" i="1"/>
  <c r="T88" i="1"/>
  <c r="AC88" i="1" s="1"/>
  <c r="S88" i="1"/>
  <c r="R88" i="1"/>
  <c r="AA88" i="1" s="1"/>
  <c r="Q88" i="1"/>
  <c r="P88" i="1"/>
  <c r="O88" i="1"/>
  <c r="J88" i="1"/>
  <c r="N88" i="1" s="1"/>
  <c r="G88" i="1"/>
  <c r="T87" i="1"/>
  <c r="AC87" i="1" s="1"/>
  <c r="S87" i="1"/>
  <c r="R87" i="1"/>
  <c r="AA87" i="1" s="1"/>
  <c r="Q87" i="1"/>
  <c r="J87" i="1"/>
  <c r="G87" i="1"/>
  <c r="T86" i="1"/>
  <c r="AC86" i="1" s="1"/>
  <c r="S86" i="1"/>
  <c r="AB86" i="1" s="1"/>
  <c r="R86" i="1"/>
  <c r="AA86" i="1" s="1"/>
  <c r="J86" i="1"/>
  <c r="O86" i="1" s="1"/>
  <c r="G86" i="1"/>
  <c r="Q86" i="1" s="1"/>
  <c r="AC85" i="1"/>
  <c r="T85" i="1"/>
  <c r="S85" i="1"/>
  <c r="R85" i="1"/>
  <c r="AA85" i="1" s="1"/>
  <c r="J85" i="1"/>
  <c r="G85" i="1"/>
  <c r="T84" i="1"/>
  <c r="AC84" i="1" s="1"/>
  <c r="S84" i="1"/>
  <c r="AB84" i="1" s="1"/>
  <c r="R84" i="1"/>
  <c r="AA84" i="1" s="1"/>
  <c r="J84" i="1"/>
  <c r="G84" i="1"/>
  <c r="T83" i="1"/>
  <c r="AC83" i="1" s="1"/>
  <c r="S83" i="1"/>
  <c r="R83" i="1"/>
  <c r="AA83" i="1" s="1"/>
  <c r="O83" i="1"/>
  <c r="N83" i="1"/>
  <c r="W83" i="1" s="1"/>
  <c r="J83" i="1"/>
  <c r="P83" i="1" s="1"/>
  <c r="G83" i="1"/>
  <c r="Q83" i="1" s="1"/>
  <c r="T82" i="1"/>
  <c r="AC82" i="1" s="1"/>
  <c r="S82" i="1"/>
  <c r="R82" i="1"/>
  <c r="AA82" i="1" s="1"/>
  <c r="P82" i="1"/>
  <c r="O82" i="1"/>
  <c r="J82" i="1"/>
  <c r="N82" i="1" s="1"/>
  <c r="G82" i="1"/>
  <c r="Q82" i="1" s="1"/>
  <c r="T81" i="1"/>
  <c r="AC81" i="1" s="1"/>
  <c r="S81" i="1"/>
  <c r="R81" i="1"/>
  <c r="AA81" i="1" s="1"/>
  <c r="J81" i="1"/>
  <c r="Q81" i="1" s="1"/>
  <c r="G81" i="1"/>
  <c r="T80" i="1"/>
  <c r="AC80" i="1" s="1"/>
  <c r="S80" i="1"/>
  <c r="R80" i="1"/>
  <c r="AA80" i="1" s="1"/>
  <c r="P80" i="1"/>
  <c r="Y80" i="1" s="1"/>
  <c r="J80" i="1"/>
  <c r="N80" i="1" s="1"/>
  <c r="G80" i="1"/>
  <c r="Q80" i="1" s="1"/>
  <c r="T79" i="1"/>
  <c r="AC79" i="1" s="1"/>
  <c r="S79" i="1"/>
  <c r="AB79" i="1" s="1"/>
  <c r="R79" i="1"/>
  <c r="AA79" i="1" s="1"/>
  <c r="P79" i="1"/>
  <c r="J79" i="1"/>
  <c r="G79" i="1"/>
  <c r="T78" i="1"/>
  <c r="AC78" i="1" s="1"/>
  <c r="S78" i="1"/>
  <c r="AB78" i="1" s="1"/>
  <c r="R78" i="1"/>
  <c r="AA78" i="1" s="1"/>
  <c r="P78" i="1"/>
  <c r="J78" i="1"/>
  <c r="O78" i="1" s="1"/>
  <c r="G78" i="1"/>
  <c r="Q78" i="1" s="1"/>
  <c r="T77" i="1"/>
  <c r="AC77" i="1" s="1"/>
  <c r="S77" i="1"/>
  <c r="R77" i="1"/>
  <c r="AA77" i="1" s="1"/>
  <c r="J77" i="1"/>
  <c r="G77" i="1"/>
  <c r="T76" i="1"/>
  <c r="AC76" i="1" s="1"/>
  <c r="S76" i="1"/>
  <c r="R76" i="1"/>
  <c r="AA76" i="1" s="1"/>
  <c r="J76" i="1"/>
  <c r="G76" i="1"/>
  <c r="Q76" i="1" s="1"/>
  <c r="T75" i="1"/>
  <c r="AC75" i="1" s="1"/>
  <c r="S75" i="1"/>
  <c r="AB75" i="1" s="1"/>
  <c r="R75" i="1"/>
  <c r="AA75" i="1" s="1"/>
  <c r="J75" i="1"/>
  <c r="G75" i="1"/>
  <c r="T74" i="1"/>
  <c r="AC74" i="1" s="1"/>
  <c r="S74" i="1"/>
  <c r="R74" i="1"/>
  <c r="AA74" i="1" s="1"/>
  <c r="O74" i="1"/>
  <c r="N74" i="1"/>
  <c r="J74" i="1"/>
  <c r="P74" i="1" s="1"/>
  <c r="G74" i="1"/>
  <c r="T73" i="1"/>
  <c r="AC73" i="1" s="1"/>
  <c r="S73" i="1"/>
  <c r="R73" i="1"/>
  <c r="AA73" i="1" s="1"/>
  <c r="J73" i="1"/>
  <c r="G73" i="1"/>
  <c r="T72" i="1"/>
  <c r="AC72" i="1" s="1"/>
  <c r="S72" i="1"/>
  <c r="AB72" i="1" s="1"/>
  <c r="R72" i="1"/>
  <c r="AA72" i="1" s="1"/>
  <c r="J72" i="1"/>
  <c r="N72" i="1" s="1"/>
  <c r="G72" i="1"/>
  <c r="Q72" i="1" s="1"/>
  <c r="AC71" i="1"/>
  <c r="AB71" i="1"/>
  <c r="T71" i="1"/>
  <c r="S71" i="1"/>
  <c r="R71" i="1"/>
  <c r="AA71" i="1" s="1"/>
  <c r="P71" i="1"/>
  <c r="J71" i="1"/>
  <c r="Q71" i="1" s="1"/>
  <c r="G71" i="1"/>
  <c r="AA70" i="1"/>
  <c r="T70" i="1"/>
  <c r="AC70" i="1" s="1"/>
  <c r="S70" i="1"/>
  <c r="R70" i="1"/>
  <c r="Q70" i="1"/>
  <c r="J70" i="1"/>
  <c r="P70" i="1" s="1"/>
  <c r="G70" i="1"/>
  <c r="T69" i="1"/>
  <c r="AC69" i="1" s="1"/>
  <c r="S69" i="1"/>
  <c r="R69" i="1"/>
  <c r="AA69" i="1" s="1"/>
  <c r="J69" i="1"/>
  <c r="G69" i="1"/>
  <c r="T68" i="1"/>
  <c r="AC68" i="1" s="1"/>
  <c r="S68" i="1"/>
  <c r="AB68" i="1" s="1"/>
  <c r="R68" i="1"/>
  <c r="AA68" i="1" s="1"/>
  <c r="Q68" i="1"/>
  <c r="J68" i="1"/>
  <c r="P68" i="1" s="1"/>
  <c r="G68" i="1"/>
  <c r="T67" i="1"/>
  <c r="AC67" i="1" s="1"/>
  <c r="S67" i="1"/>
  <c r="R67" i="1"/>
  <c r="AA67" i="1" s="1"/>
  <c r="J67" i="1"/>
  <c r="G67" i="1"/>
  <c r="Q67" i="1" s="1"/>
  <c r="T66" i="1"/>
  <c r="AC66" i="1" s="1"/>
  <c r="S66" i="1"/>
  <c r="R66" i="1"/>
  <c r="AA66" i="1" s="1"/>
  <c r="P66" i="1"/>
  <c r="J66" i="1"/>
  <c r="O66" i="1" s="1"/>
  <c r="X66" i="1" s="1"/>
  <c r="G66" i="1"/>
  <c r="Q66" i="1" s="1"/>
  <c r="T65" i="1"/>
  <c r="AC65" i="1" s="1"/>
  <c r="S65" i="1"/>
  <c r="R65" i="1"/>
  <c r="AA65" i="1" s="1"/>
  <c r="P65" i="1"/>
  <c r="O65" i="1"/>
  <c r="J65" i="1"/>
  <c r="N65" i="1" s="1"/>
  <c r="G65" i="1"/>
  <c r="Q65" i="1" s="1"/>
  <c r="T64" i="1"/>
  <c r="AC64" i="1" s="1"/>
  <c r="S64" i="1"/>
  <c r="AB64" i="1" s="1"/>
  <c r="R64" i="1"/>
  <c r="AA64" i="1" s="1"/>
  <c r="J64" i="1"/>
  <c r="G64" i="1"/>
  <c r="T63" i="1"/>
  <c r="AC63" i="1" s="1"/>
  <c r="S63" i="1"/>
  <c r="R63" i="1"/>
  <c r="AA63" i="1" s="1"/>
  <c r="Q63" i="1"/>
  <c r="P63" i="1"/>
  <c r="O63" i="1"/>
  <c r="N63" i="1"/>
  <c r="W63" i="1" s="1"/>
  <c r="J63" i="1"/>
  <c r="G63" i="1"/>
  <c r="T62" i="1"/>
  <c r="AC62" i="1" s="1"/>
  <c r="S62" i="1"/>
  <c r="R62" i="1"/>
  <c r="AA62" i="1" s="1"/>
  <c r="P62" i="1"/>
  <c r="J62" i="1"/>
  <c r="N62" i="1" s="1"/>
  <c r="G62" i="1"/>
  <c r="Q62" i="1" s="1"/>
  <c r="T61" i="1"/>
  <c r="AC61" i="1" s="1"/>
  <c r="S61" i="1"/>
  <c r="R61" i="1"/>
  <c r="AA61" i="1" s="1"/>
  <c r="P61" i="1"/>
  <c r="J61" i="1"/>
  <c r="O61" i="1" s="1"/>
  <c r="G61" i="1"/>
  <c r="Q61" i="1" s="1"/>
  <c r="T60" i="1"/>
  <c r="AC60" i="1" s="1"/>
  <c r="S60" i="1"/>
  <c r="AB60" i="1" s="1"/>
  <c r="R60" i="1"/>
  <c r="AA60" i="1" s="1"/>
  <c r="J60" i="1"/>
  <c r="P60" i="1" s="1"/>
  <c r="G60" i="1"/>
  <c r="T59" i="1"/>
  <c r="AC59" i="1" s="1"/>
  <c r="S59" i="1"/>
  <c r="R59" i="1"/>
  <c r="AA59" i="1" s="1"/>
  <c r="J59" i="1"/>
  <c r="G59" i="1"/>
  <c r="AB58" i="1"/>
  <c r="T58" i="1"/>
  <c r="AC58" i="1" s="1"/>
  <c r="S58" i="1"/>
  <c r="R58" i="1"/>
  <c r="AA58" i="1" s="1"/>
  <c r="P58" i="1"/>
  <c r="O58" i="1"/>
  <c r="J58" i="1"/>
  <c r="N58" i="1" s="1"/>
  <c r="G58" i="1"/>
  <c r="Q58" i="1" s="1"/>
  <c r="T57" i="1"/>
  <c r="AC57" i="1" s="1"/>
  <c r="S57" i="1"/>
  <c r="R57" i="1"/>
  <c r="AA57" i="1" s="1"/>
  <c r="P57" i="1"/>
  <c r="O57" i="1"/>
  <c r="J57" i="1"/>
  <c r="N57" i="1" s="1"/>
  <c r="G57" i="1"/>
  <c r="Q57" i="1" s="1"/>
  <c r="T56" i="1"/>
  <c r="AC56" i="1" s="1"/>
  <c r="S56" i="1"/>
  <c r="R56" i="1"/>
  <c r="AA56" i="1" s="1"/>
  <c r="J56" i="1"/>
  <c r="G56" i="1"/>
  <c r="T55" i="1"/>
  <c r="AC55" i="1" s="1"/>
  <c r="S55" i="1"/>
  <c r="R55" i="1"/>
  <c r="AA55" i="1" s="1"/>
  <c r="J55" i="1"/>
  <c r="P55" i="1" s="1"/>
  <c r="G55" i="1"/>
  <c r="Q55" i="1" s="1"/>
  <c r="AA54" i="1"/>
  <c r="T54" i="1"/>
  <c r="AC54" i="1" s="1"/>
  <c r="S54" i="1"/>
  <c r="AB54" i="1" s="1"/>
  <c r="R54" i="1"/>
  <c r="J54" i="1"/>
  <c r="N54" i="1" s="1"/>
  <c r="G54" i="1"/>
  <c r="Q54" i="1" s="1"/>
  <c r="T53" i="1"/>
  <c r="AC53" i="1" s="1"/>
  <c r="S53" i="1"/>
  <c r="AB53" i="1" s="1"/>
  <c r="R53" i="1"/>
  <c r="AA53" i="1" s="1"/>
  <c r="J53" i="1"/>
  <c r="O53" i="1" s="1"/>
  <c r="G53" i="1"/>
  <c r="Q53" i="1" s="1"/>
  <c r="T52" i="1"/>
  <c r="AC52" i="1" s="1"/>
  <c r="S52" i="1"/>
  <c r="R52" i="1"/>
  <c r="AA52" i="1" s="1"/>
  <c r="J52" i="1"/>
  <c r="P52" i="1" s="1"/>
  <c r="G52" i="1"/>
  <c r="T51" i="1"/>
  <c r="AC51" i="1" s="1"/>
  <c r="S51" i="1"/>
  <c r="R51" i="1"/>
  <c r="AA51" i="1" s="1"/>
  <c r="J51" i="1"/>
  <c r="G51" i="1"/>
  <c r="Q51" i="1" s="1"/>
  <c r="T50" i="1"/>
  <c r="AC50" i="1" s="1"/>
  <c r="S50" i="1"/>
  <c r="R50" i="1"/>
  <c r="AA50" i="1" s="1"/>
  <c r="O50" i="1"/>
  <c r="N50" i="1"/>
  <c r="W50" i="1" s="1"/>
  <c r="J50" i="1"/>
  <c r="P50" i="1" s="1"/>
  <c r="Y50" i="1" s="1"/>
  <c r="G50" i="1"/>
  <c r="Q50" i="1" s="1"/>
  <c r="AC49" i="1"/>
  <c r="T49" i="1"/>
  <c r="S49" i="1"/>
  <c r="R49" i="1"/>
  <c r="AA49" i="1" s="1"/>
  <c r="P49" i="1"/>
  <c r="O49" i="1"/>
  <c r="J49" i="1"/>
  <c r="N49" i="1" s="1"/>
  <c r="G49" i="1"/>
  <c r="Q49" i="1" s="1"/>
  <c r="T48" i="1"/>
  <c r="AC48" i="1" s="1"/>
  <c r="S48" i="1"/>
  <c r="R48" i="1"/>
  <c r="AA48" i="1" s="1"/>
  <c r="J48" i="1"/>
  <c r="P48" i="1" s="1"/>
  <c r="Y48" i="1" s="1"/>
  <c r="G48" i="1"/>
  <c r="T47" i="1"/>
  <c r="AC47" i="1" s="1"/>
  <c r="S47" i="1"/>
  <c r="AB47" i="1" s="1"/>
  <c r="R47" i="1"/>
  <c r="AA47" i="1" s="1"/>
  <c r="P47" i="1"/>
  <c r="O47" i="1"/>
  <c r="N47" i="1"/>
  <c r="W47" i="1" s="1"/>
  <c r="J47" i="1"/>
  <c r="G47" i="1"/>
  <c r="Q47" i="1" s="1"/>
  <c r="T46" i="1"/>
  <c r="AC46" i="1" s="1"/>
  <c r="S46" i="1"/>
  <c r="R46" i="1"/>
  <c r="AA46" i="1" s="1"/>
  <c r="P46" i="1"/>
  <c r="O46" i="1"/>
  <c r="X46" i="1" s="1"/>
  <c r="J46" i="1"/>
  <c r="N46" i="1" s="1"/>
  <c r="G46" i="1"/>
  <c r="Q46" i="1" s="1"/>
  <c r="AB45" i="1"/>
  <c r="T45" i="1"/>
  <c r="AC45" i="1" s="1"/>
  <c r="S45" i="1"/>
  <c r="R45" i="1"/>
  <c r="AA45" i="1" s="1"/>
  <c r="P45" i="1"/>
  <c r="Y45" i="1" s="1"/>
  <c r="J45" i="1"/>
  <c r="O45" i="1" s="1"/>
  <c r="G45" i="1"/>
  <c r="Q45" i="1" s="1"/>
  <c r="AC44" i="1"/>
  <c r="T44" i="1"/>
  <c r="S44" i="1"/>
  <c r="R44" i="1"/>
  <c r="AA44" i="1" s="1"/>
  <c r="J44" i="1"/>
  <c r="P44" i="1" s="1"/>
  <c r="G44" i="1"/>
  <c r="Q44" i="1" s="1"/>
  <c r="T43" i="1"/>
  <c r="AC43" i="1" s="1"/>
  <c r="S43" i="1"/>
  <c r="R43" i="1"/>
  <c r="AA43" i="1" s="1"/>
  <c r="J43" i="1"/>
  <c r="G43" i="1"/>
  <c r="Q43" i="1" s="1"/>
  <c r="T42" i="1"/>
  <c r="AC42" i="1" s="1"/>
  <c r="S42" i="1"/>
  <c r="R42" i="1"/>
  <c r="AA42" i="1" s="1"/>
  <c r="P42" i="1"/>
  <c r="O42" i="1"/>
  <c r="N42" i="1"/>
  <c r="J42" i="1"/>
  <c r="G42" i="1"/>
  <c r="Q42" i="1" s="1"/>
  <c r="T41" i="1"/>
  <c r="AC41" i="1" s="1"/>
  <c r="S41" i="1"/>
  <c r="AB41" i="1" s="1"/>
  <c r="R41" i="1"/>
  <c r="AA41" i="1" s="1"/>
  <c r="P41" i="1"/>
  <c r="O41" i="1"/>
  <c r="J41" i="1"/>
  <c r="N41" i="1" s="1"/>
  <c r="G41" i="1"/>
  <c r="Q41" i="1" s="1"/>
  <c r="T40" i="1"/>
  <c r="AC40" i="1" s="1"/>
  <c r="S40" i="1"/>
  <c r="AB40" i="1" s="1"/>
  <c r="R40" i="1"/>
  <c r="AA40" i="1" s="1"/>
  <c r="J40" i="1"/>
  <c r="G40" i="1"/>
  <c r="T39" i="1"/>
  <c r="AC39" i="1" s="1"/>
  <c r="S39" i="1"/>
  <c r="R39" i="1"/>
  <c r="AA39" i="1" s="1"/>
  <c r="P39" i="1"/>
  <c r="O39" i="1"/>
  <c r="X39" i="1" s="1"/>
  <c r="J39" i="1"/>
  <c r="N39" i="1" s="1"/>
  <c r="W39" i="1" s="1"/>
  <c r="G39" i="1"/>
  <c r="Q39" i="1" s="1"/>
  <c r="T38" i="1"/>
  <c r="AC38" i="1" s="1"/>
  <c r="S38" i="1"/>
  <c r="R38" i="1"/>
  <c r="AA38" i="1" s="1"/>
  <c r="P38" i="1"/>
  <c r="O38" i="1"/>
  <c r="X38" i="1" s="1"/>
  <c r="J38" i="1"/>
  <c r="N38" i="1" s="1"/>
  <c r="G38" i="1"/>
  <c r="Q38" i="1" s="1"/>
  <c r="T37" i="1"/>
  <c r="AC37" i="1" s="1"/>
  <c r="S37" i="1"/>
  <c r="R37" i="1"/>
  <c r="AA37" i="1" s="1"/>
  <c r="J37" i="1"/>
  <c r="O37" i="1" s="1"/>
  <c r="G37" i="1"/>
  <c r="Q37" i="1" s="1"/>
  <c r="T36" i="1"/>
  <c r="AC36" i="1" s="1"/>
  <c r="S36" i="1"/>
  <c r="R36" i="1"/>
  <c r="AA36" i="1" s="1"/>
  <c r="J36" i="1"/>
  <c r="P36" i="1" s="1"/>
  <c r="G36" i="1"/>
  <c r="Q36" i="1" s="1"/>
  <c r="T35" i="1"/>
  <c r="AC35" i="1" s="1"/>
  <c r="S35" i="1"/>
  <c r="AB35" i="1" s="1"/>
  <c r="R35" i="1"/>
  <c r="AA35" i="1" s="1"/>
  <c r="J35" i="1"/>
  <c r="G35" i="1"/>
  <c r="Q35" i="1" s="1"/>
  <c r="T34" i="1"/>
  <c r="AC34" i="1" s="1"/>
  <c r="S34" i="1"/>
  <c r="R34" i="1"/>
  <c r="AA34" i="1" s="1"/>
  <c r="P34" i="1"/>
  <c r="Y34" i="1" s="1"/>
  <c r="O34" i="1"/>
  <c r="J34" i="1"/>
  <c r="N34" i="1" s="1"/>
  <c r="W34" i="1" s="1"/>
  <c r="G34" i="1"/>
  <c r="Q34" i="1" s="1"/>
  <c r="T33" i="1"/>
  <c r="AC33" i="1" s="1"/>
  <c r="S33" i="1"/>
  <c r="R33" i="1"/>
  <c r="AA33" i="1" s="1"/>
  <c r="P33" i="1"/>
  <c r="O33" i="1"/>
  <c r="J33" i="1"/>
  <c r="N33" i="1" s="1"/>
  <c r="G33" i="1"/>
  <c r="Q33" i="1" s="1"/>
  <c r="T32" i="1"/>
  <c r="AC32" i="1" s="1"/>
  <c r="S32" i="1"/>
  <c r="AB32" i="1" s="1"/>
  <c r="R32" i="1"/>
  <c r="AA32" i="1" s="1"/>
  <c r="J32" i="1"/>
  <c r="P32" i="1" s="1"/>
  <c r="Y32" i="1" s="1"/>
  <c r="G32" i="1"/>
  <c r="AA31" i="1"/>
  <c r="T31" i="1"/>
  <c r="AC31" i="1" s="1"/>
  <c r="S31" i="1"/>
  <c r="R31" i="1"/>
  <c r="P31" i="1"/>
  <c r="O31" i="1"/>
  <c r="J31" i="1"/>
  <c r="N31" i="1" s="1"/>
  <c r="W31" i="1" s="1"/>
  <c r="G31" i="1"/>
  <c r="Q31" i="1" s="1"/>
  <c r="T30" i="1"/>
  <c r="AC30" i="1" s="1"/>
  <c r="S30" i="1"/>
  <c r="R30" i="1"/>
  <c r="AA30" i="1" s="1"/>
  <c r="P30" i="1"/>
  <c r="O30" i="1"/>
  <c r="J30" i="1"/>
  <c r="N30" i="1" s="1"/>
  <c r="G30" i="1"/>
  <c r="Q30" i="1" s="1"/>
  <c r="AB29" i="1"/>
  <c r="T29" i="1"/>
  <c r="AC29" i="1" s="1"/>
  <c r="S29" i="1"/>
  <c r="R29" i="1"/>
  <c r="AA29" i="1" s="1"/>
  <c r="J29" i="1"/>
  <c r="O29" i="1" s="1"/>
  <c r="G29" i="1"/>
  <c r="T28" i="1"/>
  <c r="AC28" i="1" s="1"/>
  <c r="S28" i="1"/>
  <c r="R28" i="1"/>
  <c r="AA28" i="1" s="1"/>
  <c r="J28" i="1"/>
  <c r="G28" i="1"/>
  <c r="Q28" i="1" s="1"/>
  <c r="AA27" i="1"/>
  <c r="T27" i="1"/>
  <c r="AC27" i="1" s="1"/>
  <c r="S27" i="1"/>
  <c r="R27" i="1"/>
  <c r="J27" i="1"/>
  <c r="G27" i="1"/>
  <c r="Q27" i="1" s="1"/>
  <c r="T26" i="1"/>
  <c r="AC26" i="1" s="1"/>
  <c r="S26" i="1"/>
  <c r="R26" i="1"/>
  <c r="AA26" i="1" s="1"/>
  <c r="P26" i="1"/>
  <c r="J26" i="1"/>
  <c r="O26" i="1" s="1"/>
  <c r="G26" i="1"/>
  <c r="Q26" i="1" s="1"/>
  <c r="T25" i="1"/>
  <c r="AC25" i="1" s="1"/>
  <c r="S25" i="1"/>
  <c r="R25" i="1"/>
  <c r="AA25" i="1" s="1"/>
  <c r="P25" i="1"/>
  <c r="J25" i="1"/>
  <c r="N25" i="1" s="1"/>
  <c r="G25" i="1"/>
  <c r="Q25" i="1" s="1"/>
  <c r="T24" i="1"/>
  <c r="AC24" i="1" s="1"/>
  <c r="S24" i="1"/>
  <c r="R24" i="1"/>
  <c r="AA24" i="1" s="1"/>
  <c r="P24" i="1"/>
  <c r="Y24" i="1" s="1"/>
  <c r="J24" i="1"/>
  <c r="G24" i="1"/>
  <c r="T23" i="1"/>
  <c r="AC23" i="1" s="1"/>
  <c r="S23" i="1"/>
  <c r="R23" i="1"/>
  <c r="AA23" i="1" s="1"/>
  <c r="P23" i="1"/>
  <c r="J23" i="1"/>
  <c r="O23" i="1" s="1"/>
  <c r="G23" i="1"/>
  <c r="Q23" i="1" s="1"/>
  <c r="T22" i="1"/>
  <c r="AC22" i="1" s="1"/>
  <c r="S22" i="1"/>
  <c r="R22" i="1"/>
  <c r="AA22" i="1" s="1"/>
  <c r="P22" i="1"/>
  <c r="J22" i="1"/>
  <c r="N22" i="1" s="1"/>
  <c r="G22" i="1"/>
  <c r="Q22" i="1" s="1"/>
  <c r="T21" i="1"/>
  <c r="AC21" i="1" s="1"/>
  <c r="S21" i="1"/>
  <c r="R21" i="1"/>
  <c r="AA21" i="1" s="1"/>
  <c r="P21" i="1"/>
  <c r="J21" i="1"/>
  <c r="O21" i="1" s="1"/>
  <c r="G21" i="1"/>
  <c r="Q21" i="1" s="1"/>
  <c r="T20" i="1"/>
  <c r="AC20" i="1" s="1"/>
  <c r="S20" i="1"/>
  <c r="AB20" i="1" s="1"/>
  <c r="R20" i="1"/>
  <c r="AA20" i="1" s="1"/>
  <c r="J20" i="1"/>
  <c r="G20" i="1"/>
  <c r="Q20" i="1" s="1"/>
  <c r="T19" i="1"/>
  <c r="AC19" i="1" s="1"/>
  <c r="S19" i="1"/>
  <c r="AB19" i="1" s="1"/>
  <c r="R19" i="1"/>
  <c r="AA19" i="1" s="1"/>
  <c r="J19" i="1"/>
  <c r="N19" i="1" s="1"/>
  <c r="G19" i="1"/>
  <c r="AC18" i="1"/>
  <c r="T18" i="1"/>
  <c r="S18" i="1"/>
  <c r="AB18" i="1" s="1"/>
  <c r="R18" i="1"/>
  <c r="AA18" i="1" s="1"/>
  <c r="P18" i="1"/>
  <c r="J18" i="1"/>
  <c r="O18" i="1" s="1"/>
  <c r="G18" i="1"/>
  <c r="T17" i="1"/>
  <c r="AC17" i="1" s="1"/>
  <c r="S17" i="1"/>
  <c r="R17" i="1"/>
  <c r="AA17" i="1" s="1"/>
  <c r="J17" i="1"/>
  <c r="N17" i="1" s="1"/>
  <c r="G17" i="1"/>
  <c r="T16" i="1"/>
  <c r="AC16" i="1" s="1"/>
  <c r="S16" i="1"/>
  <c r="R16" i="1"/>
  <c r="AA16" i="1" s="1"/>
  <c r="J16" i="1"/>
  <c r="O16" i="1" s="1"/>
  <c r="G16" i="1"/>
  <c r="T15" i="1"/>
  <c r="AC15" i="1" s="1"/>
  <c r="S15" i="1"/>
  <c r="AB15" i="1" s="1"/>
  <c r="R15" i="1"/>
  <c r="AA15" i="1" s="1"/>
  <c r="J15" i="1"/>
  <c r="P15" i="1" s="1"/>
  <c r="G15" i="1"/>
  <c r="Q15" i="1" s="1"/>
  <c r="AC14" i="1"/>
  <c r="AA14" i="1"/>
  <c r="T14" i="1"/>
  <c r="S14" i="1"/>
  <c r="R14" i="1"/>
  <c r="P14" i="1"/>
  <c r="O14" i="1"/>
  <c r="J14" i="1"/>
  <c r="N14" i="1" s="1"/>
  <c r="G14" i="1"/>
  <c r="Q14" i="1" s="1"/>
  <c r="AC13" i="1"/>
  <c r="T13" i="1"/>
  <c r="S13" i="1"/>
  <c r="AB13" i="1" s="1"/>
  <c r="R13" i="1"/>
  <c r="AA13" i="1" s="1"/>
  <c r="Q13" i="1"/>
  <c r="J13" i="1"/>
  <c r="P13" i="1" s="1"/>
  <c r="G13" i="1"/>
  <c r="T12" i="1"/>
  <c r="AC12" i="1" s="1"/>
  <c r="S12" i="1"/>
  <c r="R12" i="1"/>
  <c r="AA12" i="1" s="1"/>
  <c r="Q12" i="1"/>
  <c r="J12" i="1"/>
  <c r="G12" i="1"/>
  <c r="AB11" i="1"/>
  <c r="T11" i="1"/>
  <c r="AC11" i="1" s="1"/>
  <c r="S11" i="1"/>
  <c r="R11" i="1"/>
  <c r="AA11" i="1" s="1"/>
  <c r="J11" i="1"/>
  <c r="P11" i="1" s="1"/>
  <c r="G11" i="1"/>
  <c r="T10" i="1"/>
  <c r="AC10" i="1" s="1"/>
  <c r="S10" i="1"/>
  <c r="AB10" i="1" s="1"/>
  <c r="R10" i="1"/>
  <c r="AA10" i="1" s="1"/>
  <c r="P10" i="1"/>
  <c r="O10" i="1"/>
  <c r="N10" i="1"/>
  <c r="J10" i="1"/>
  <c r="G10" i="1"/>
  <c r="Q10" i="1" s="1"/>
  <c r="V9" i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T9" i="1"/>
  <c r="AC9" i="1" s="1"/>
  <c r="S9" i="1"/>
  <c r="R9" i="1"/>
  <c r="AA9" i="1" s="1"/>
  <c r="J9" i="1"/>
  <c r="N9" i="1" s="1"/>
  <c r="W9" i="1" s="1"/>
  <c r="G9" i="1"/>
  <c r="T8" i="1"/>
  <c r="S8" i="1"/>
  <c r="R8" i="1"/>
  <c r="AA8" i="1" s="1"/>
  <c r="J8" i="1"/>
  <c r="N8" i="1" s="1"/>
  <c r="G8" i="1"/>
  <c r="Q8" i="1" s="1"/>
  <c r="T7" i="1"/>
  <c r="S7" i="1"/>
  <c r="R7" i="1"/>
  <c r="J7" i="1"/>
  <c r="O7" i="1" s="1"/>
  <c r="G7" i="1"/>
  <c r="T6" i="1"/>
  <c r="J6" i="1"/>
  <c r="O6" i="1" s="1"/>
  <c r="AD77" i="2" l="1"/>
  <c r="AD65" i="2"/>
  <c r="AD86" i="2"/>
  <c r="AD50" i="2"/>
  <c r="AC30" i="2"/>
  <c r="AC71" i="2"/>
  <c r="AE67" i="2"/>
  <c r="AC23" i="2"/>
  <c r="AD55" i="2"/>
  <c r="L32" i="2"/>
  <c r="X32" i="2" s="1"/>
  <c r="W32" i="2"/>
  <c r="AG32" i="2" s="1"/>
  <c r="L72" i="2"/>
  <c r="X72" i="2" s="1"/>
  <c r="W72" i="2"/>
  <c r="AG72" i="2" s="1"/>
  <c r="L9" i="2"/>
  <c r="X9" i="2" s="1"/>
  <c r="W9" i="2"/>
  <c r="AG9" i="2" s="1"/>
  <c r="L17" i="2"/>
  <c r="X17" i="2" s="1"/>
  <c r="W17" i="2"/>
  <c r="AG17" i="2" s="1"/>
  <c r="L25" i="2"/>
  <c r="X25" i="2" s="1"/>
  <c r="AH25" i="2" s="1"/>
  <c r="W25" i="2"/>
  <c r="AG25" i="2" s="1"/>
  <c r="L33" i="2"/>
  <c r="X33" i="2" s="1"/>
  <c r="W33" i="2"/>
  <c r="AG33" i="2" s="1"/>
  <c r="L41" i="2"/>
  <c r="X41" i="2" s="1"/>
  <c r="W41" i="2"/>
  <c r="AG41" i="2" s="1"/>
  <c r="L49" i="2"/>
  <c r="X49" i="2" s="1"/>
  <c r="W49" i="2"/>
  <c r="AG49" i="2" s="1"/>
  <c r="L57" i="2"/>
  <c r="X57" i="2" s="1"/>
  <c r="AH57" i="2" s="1"/>
  <c r="W57" i="2"/>
  <c r="AG57" i="2" s="1"/>
  <c r="L65" i="2"/>
  <c r="X65" i="2" s="1"/>
  <c r="W65" i="2"/>
  <c r="AG65" i="2" s="1"/>
  <c r="L73" i="2"/>
  <c r="X73" i="2" s="1"/>
  <c r="AH73" i="2" s="1"/>
  <c r="W73" i="2"/>
  <c r="AG73" i="2" s="1"/>
  <c r="L81" i="2"/>
  <c r="X81" i="2" s="1"/>
  <c r="W81" i="2"/>
  <c r="AG81" i="2" s="1"/>
  <c r="L89" i="2"/>
  <c r="X89" i="2" s="1"/>
  <c r="W89" i="2"/>
  <c r="AG89" i="2" s="1"/>
  <c r="L16" i="2"/>
  <c r="X16" i="2" s="1"/>
  <c r="W16" i="2"/>
  <c r="AG16" i="2" s="1"/>
  <c r="L56" i="2"/>
  <c r="X56" i="2" s="1"/>
  <c r="W56" i="2"/>
  <c r="AG56" i="2" s="1"/>
  <c r="L80" i="2"/>
  <c r="X80" i="2" s="1"/>
  <c r="W80" i="2"/>
  <c r="AG80" i="2" s="1"/>
  <c r="L10" i="2"/>
  <c r="X10" i="2" s="1"/>
  <c r="AH10" i="2" s="1"/>
  <c r="W10" i="2"/>
  <c r="AG10" i="2" s="1"/>
  <c r="L18" i="2"/>
  <c r="X18" i="2" s="1"/>
  <c r="AH18" i="2" s="1"/>
  <c r="W18" i="2"/>
  <c r="AG18" i="2" s="1"/>
  <c r="L26" i="2"/>
  <c r="X26" i="2" s="1"/>
  <c r="W26" i="2"/>
  <c r="AG26" i="2" s="1"/>
  <c r="L34" i="2"/>
  <c r="X34" i="2" s="1"/>
  <c r="AH34" i="2" s="1"/>
  <c r="W34" i="2"/>
  <c r="AG34" i="2" s="1"/>
  <c r="L42" i="2"/>
  <c r="X42" i="2" s="1"/>
  <c r="AH42" i="2" s="1"/>
  <c r="W42" i="2"/>
  <c r="AG42" i="2" s="1"/>
  <c r="L50" i="2"/>
  <c r="X50" i="2" s="1"/>
  <c r="AH50" i="2" s="1"/>
  <c r="W50" i="2"/>
  <c r="AG50" i="2" s="1"/>
  <c r="L58" i="2"/>
  <c r="X58" i="2" s="1"/>
  <c r="W58" i="2"/>
  <c r="AG58" i="2" s="1"/>
  <c r="L66" i="2"/>
  <c r="X66" i="2" s="1"/>
  <c r="AH66" i="2" s="1"/>
  <c r="W66" i="2"/>
  <c r="AG66" i="2" s="1"/>
  <c r="L74" i="2"/>
  <c r="X74" i="2" s="1"/>
  <c r="AH74" i="2" s="1"/>
  <c r="W74" i="2"/>
  <c r="AG74" i="2" s="1"/>
  <c r="L82" i="2"/>
  <c r="X82" i="2" s="1"/>
  <c r="AH82" i="2" s="1"/>
  <c r="W82" i="2"/>
  <c r="AG82" i="2" s="1"/>
  <c r="L24" i="2"/>
  <c r="X24" i="2" s="1"/>
  <c r="W24" i="2"/>
  <c r="AG24" i="2" s="1"/>
  <c r="L11" i="2"/>
  <c r="X11" i="2" s="1"/>
  <c r="W11" i="2"/>
  <c r="AG11" i="2" s="1"/>
  <c r="L19" i="2"/>
  <c r="X19" i="2" s="1"/>
  <c r="AH19" i="2" s="1"/>
  <c r="W19" i="2"/>
  <c r="AG19" i="2" s="1"/>
  <c r="L27" i="2"/>
  <c r="X27" i="2" s="1"/>
  <c r="AH27" i="2" s="1"/>
  <c r="W27" i="2"/>
  <c r="AG27" i="2" s="1"/>
  <c r="L35" i="2"/>
  <c r="X35" i="2" s="1"/>
  <c r="AH35" i="2" s="1"/>
  <c r="W35" i="2"/>
  <c r="AG35" i="2" s="1"/>
  <c r="L43" i="2"/>
  <c r="X43" i="2" s="1"/>
  <c r="W43" i="2"/>
  <c r="AG43" i="2" s="1"/>
  <c r="L51" i="2"/>
  <c r="X51" i="2" s="1"/>
  <c r="AH51" i="2" s="1"/>
  <c r="W51" i="2"/>
  <c r="AG51" i="2" s="1"/>
  <c r="L59" i="2"/>
  <c r="X59" i="2" s="1"/>
  <c r="AH59" i="2" s="1"/>
  <c r="W59" i="2"/>
  <c r="AG59" i="2" s="1"/>
  <c r="L67" i="2"/>
  <c r="X67" i="2" s="1"/>
  <c r="AH67" i="2" s="1"/>
  <c r="W67" i="2"/>
  <c r="AG67" i="2" s="1"/>
  <c r="L75" i="2"/>
  <c r="X75" i="2" s="1"/>
  <c r="W75" i="2"/>
  <c r="AG75" i="2" s="1"/>
  <c r="L83" i="2"/>
  <c r="X83" i="2" s="1"/>
  <c r="AH83" i="2" s="1"/>
  <c r="W83" i="2"/>
  <c r="AG83" i="2" s="1"/>
  <c r="L64" i="2"/>
  <c r="X64" i="2" s="1"/>
  <c r="W64" i="2"/>
  <c r="AG64" i="2" s="1"/>
  <c r="L4" i="2"/>
  <c r="W4" i="2"/>
  <c r="AG4" i="2" s="1"/>
  <c r="L12" i="2"/>
  <c r="X12" i="2" s="1"/>
  <c r="W12" i="2"/>
  <c r="AG12" i="2" s="1"/>
  <c r="L20" i="2"/>
  <c r="X20" i="2" s="1"/>
  <c r="W20" i="2"/>
  <c r="AG20" i="2" s="1"/>
  <c r="L28" i="2"/>
  <c r="X28" i="2" s="1"/>
  <c r="W28" i="2"/>
  <c r="AG28" i="2" s="1"/>
  <c r="L36" i="2"/>
  <c r="X36" i="2" s="1"/>
  <c r="W36" i="2"/>
  <c r="AG36" i="2" s="1"/>
  <c r="L44" i="2"/>
  <c r="X44" i="2" s="1"/>
  <c r="W44" i="2"/>
  <c r="AG44" i="2" s="1"/>
  <c r="L52" i="2"/>
  <c r="X52" i="2" s="1"/>
  <c r="W52" i="2"/>
  <c r="AG52" i="2" s="1"/>
  <c r="L60" i="2"/>
  <c r="X60" i="2" s="1"/>
  <c r="W60" i="2"/>
  <c r="AG60" i="2" s="1"/>
  <c r="L68" i="2"/>
  <c r="X68" i="2" s="1"/>
  <c r="W68" i="2"/>
  <c r="AG68" i="2" s="1"/>
  <c r="L76" i="2"/>
  <c r="X76" i="2" s="1"/>
  <c r="W76" i="2"/>
  <c r="AG76" i="2" s="1"/>
  <c r="L84" i="2"/>
  <c r="X84" i="2" s="1"/>
  <c r="W84" i="2"/>
  <c r="AG84" i="2" s="1"/>
  <c r="L48" i="2"/>
  <c r="X48" i="2" s="1"/>
  <c r="AH48" i="2" s="1"/>
  <c r="W48" i="2"/>
  <c r="AG48" i="2" s="1"/>
  <c r="L88" i="2"/>
  <c r="X88" i="2" s="1"/>
  <c r="W88" i="2"/>
  <c r="AG88" i="2" s="1"/>
  <c r="L5" i="2"/>
  <c r="X5" i="2" s="1"/>
  <c r="W5" i="2"/>
  <c r="AG5" i="2" s="1"/>
  <c r="L13" i="2"/>
  <c r="X13" i="2" s="1"/>
  <c r="W13" i="2"/>
  <c r="AG13" i="2" s="1"/>
  <c r="L21" i="2"/>
  <c r="X21" i="2" s="1"/>
  <c r="W21" i="2"/>
  <c r="AG21" i="2" s="1"/>
  <c r="L29" i="2"/>
  <c r="X29" i="2" s="1"/>
  <c r="W29" i="2"/>
  <c r="AG29" i="2" s="1"/>
  <c r="L37" i="2"/>
  <c r="X37" i="2" s="1"/>
  <c r="W37" i="2"/>
  <c r="AG37" i="2" s="1"/>
  <c r="L45" i="2"/>
  <c r="X45" i="2" s="1"/>
  <c r="W45" i="2"/>
  <c r="AG45" i="2" s="1"/>
  <c r="L53" i="2"/>
  <c r="X53" i="2" s="1"/>
  <c r="W53" i="2"/>
  <c r="AG53" i="2" s="1"/>
  <c r="L61" i="2"/>
  <c r="X61" i="2" s="1"/>
  <c r="W61" i="2"/>
  <c r="AG61" i="2" s="1"/>
  <c r="L69" i="2"/>
  <c r="X69" i="2" s="1"/>
  <c r="W69" i="2"/>
  <c r="AG69" i="2" s="1"/>
  <c r="L77" i="2"/>
  <c r="X77" i="2" s="1"/>
  <c r="W77" i="2"/>
  <c r="AG77" i="2" s="1"/>
  <c r="L85" i="2"/>
  <c r="X85" i="2" s="1"/>
  <c r="W85" i="2"/>
  <c r="AG85" i="2" s="1"/>
  <c r="AE19" i="2"/>
  <c r="L40" i="2"/>
  <c r="X40" i="2" s="1"/>
  <c r="AH40" i="2" s="1"/>
  <c r="W40" i="2"/>
  <c r="AG40" i="2" s="1"/>
  <c r="L6" i="2"/>
  <c r="X6" i="2" s="1"/>
  <c r="AH6" i="2" s="1"/>
  <c r="W6" i="2"/>
  <c r="AG6" i="2" s="1"/>
  <c r="L14" i="2"/>
  <c r="X14" i="2" s="1"/>
  <c r="W14" i="2"/>
  <c r="AG14" i="2" s="1"/>
  <c r="L22" i="2"/>
  <c r="X22" i="2" s="1"/>
  <c r="AH22" i="2" s="1"/>
  <c r="W22" i="2"/>
  <c r="AG22" i="2" s="1"/>
  <c r="L30" i="2"/>
  <c r="X30" i="2" s="1"/>
  <c r="AH30" i="2" s="1"/>
  <c r="W30" i="2"/>
  <c r="AG30" i="2" s="1"/>
  <c r="L38" i="2"/>
  <c r="X38" i="2" s="1"/>
  <c r="AH38" i="2" s="1"/>
  <c r="W38" i="2"/>
  <c r="AG38" i="2" s="1"/>
  <c r="L46" i="2"/>
  <c r="X46" i="2" s="1"/>
  <c r="W46" i="2"/>
  <c r="AG46" i="2" s="1"/>
  <c r="L54" i="2"/>
  <c r="X54" i="2" s="1"/>
  <c r="AH54" i="2" s="1"/>
  <c r="W54" i="2"/>
  <c r="AG54" i="2" s="1"/>
  <c r="L62" i="2"/>
  <c r="X62" i="2" s="1"/>
  <c r="AH62" i="2" s="1"/>
  <c r="W62" i="2"/>
  <c r="AG62" i="2" s="1"/>
  <c r="L70" i="2"/>
  <c r="X70" i="2" s="1"/>
  <c r="AH70" i="2" s="1"/>
  <c r="W70" i="2"/>
  <c r="AG70" i="2" s="1"/>
  <c r="L78" i="2"/>
  <c r="X78" i="2" s="1"/>
  <c r="W78" i="2"/>
  <c r="AG78" i="2" s="1"/>
  <c r="L86" i="2"/>
  <c r="X86" i="2" s="1"/>
  <c r="AH86" i="2" s="1"/>
  <c r="W86" i="2"/>
  <c r="AG86" i="2" s="1"/>
  <c r="L8" i="2"/>
  <c r="X8" i="2" s="1"/>
  <c r="AH8" i="2" s="1"/>
  <c r="W8" i="2"/>
  <c r="AG8" i="2" s="1"/>
  <c r="L7" i="2"/>
  <c r="X7" i="2" s="1"/>
  <c r="AH7" i="2" s="1"/>
  <c r="W7" i="2"/>
  <c r="AG7" i="2" s="1"/>
  <c r="L15" i="2"/>
  <c r="X15" i="2" s="1"/>
  <c r="AH15" i="2" s="1"/>
  <c r="W15" i="2"/>
  <c r="AG15" i="2" s="1"/>
  <c r="L23" i="2"/>
  <c r="X23" i="2" s="1"/>
  <c r="AH23" i="2" s="1"/>
  <c r="W23" i="2"/>
  <c r="AG23" i="2" s="1"/>
  <c r="L31" i="2"/>
  <c r="X31" i="2" s="1"/>
  <c r="AH31" i="2" s="1"/>
  <c r="W31" i="2"/>
  <c r="AG31" i="2" s="1"/>
  <c r="L39" i="2"/>
  <c r="X39" i="2" s="1"/>
  <c r="AH39" i="2" s="1"/>
  <c r="W39" i="2"/>
  <c r="AG39" i="2" s="1"/>
  <c r="L47" i="2"/>
  <c r="X47" i="2" s="1"/>
  <c r="W47" i="2"/>
  <c r="AG47" i="2" s="1"/>
  <c r="L55" i="2"/>
  <c r="X55" i="2" s="1"/>
  <c r="AH55" i="2" s="1"/>
  <c r="W55" i="2"/>
  <c r="AG55" i="2" s="1"/>
  <c r="L63" i="2"/>
  <c r="X63" i="2" s="1"/>
  <c r="AH63" i="2" s="1"/>
  <c r="W63" i="2"/>
  <c r="AG63" i="2" s="1"/>
  <c r="L71" i="2"/>
  <c r="X71" i="2" s="1"/>
  <c r="AH71" i="2" s="1"/>
  <c r="W71" i="2"/>
  <c r="AG71" i="2" s="1"/>
  <c r="L79" i="2"/>
  <c r="X79" i="2" s="1"/>
  <c r="AH79" i="2" s="1"/>
  <c r="W79" i="2"/>
  <c r="AG79" i="2" s="1"/>
  <c r="L87" i="2"/>
  <c r="X87" i="2" s="1"/>
  <c r="AH87" i="2" s="1"/>
  <c r="W87" i="2"/>
  <c r="AG87" i="2" s="1"/>
  <c r="AE42" i="2"/>
  <c r="AD15" i="2"/>
  <c r="AD85" i="2"/>
  <c r="AE18" i="2"/>
  <c r="AC55" i="2"/>
  <c r="AC46" i="2"/>
  <c r="AE43" i="2"/>
  <c r="AE50" i="2"/>
  <c r="AE74" i="2"/>
  <c r="AC87" i="2"/>
  <c r="AC79" i="2"/>
  <c r="AE34" i="2"/>
  <c r="AD60" i="2"/>
  <c r="AE68" i="2"/>
  <c r="AE85" i="2"/>
  <c r="AE83" i="2"/>
  <c r="AD34" i="2"/>
  <c r="AE11" i="2"/>
  <c r="AC63" i="2"/>
  <c r="AD87" i="2"/>
  <c r="AD78" i="2"/>
  <c r="AD54" i="2"/>
  <c r="AE38" i="2"/>
  <c r="AE21" i="2"/>
  <c r="AD42" i="2"/>
  <c r="AD57" i="2"/>
  <c r="AE58" i="2"/>
  <c r="AE61" i="2"/>
  <c r="AE59" i="2"/>
  <c r="AD24" i="2"/>
  <c r="AC48" i="2"/>
  <c r="AE57" i="2"/>
  <c r="AE26" i="2"/>
  <c r="AE82" i="2"/>
  <c r="AC32" i="2"/>
  <c r="AE28" i="2"/>
  <c r="AE53" i="2"/>
  <c r="AD74" i="2"/>
  <c r="AD16" i="2"/>
  <c r="AE10" i="2"/>
  <c r="AC62" i="2"/>
  <c r="AD66" i="2"/>
  <c r="AE66" i="2"/>
  <c r="AE77" i="2"/>
  <c r="AE75" i="2"/>
  <c r="AD23" i="2"/>
  <c r="AD10" i="2"/>
  <c r="AC39" i="2"/>
  <c r="AE25" i="2"/>
  <c r="AC31" i="2"/>
  <c r="AD31" i="2"/>
  <c r="AE35" i="2"/>
  <c r="AC56" i="2"/>
  <c r="AD68" i="2"/>
  <c r="AD4" i="2"/>
  <c r="AC15" i="2"/>
  <c r="AC37" i="2"/>
  <c r="AC78" i="2"/>
  <c r="AD62" i="2"/>
  <c r="AC16" i="2"/>
  <c r="AE62" i="2"/>
  <c r="AD58" i="2"/>
  <c r="AE54" i="2"/>
  <c r="AD48" i="2"/>
  <c r="M51" i="2"/>
  <c r="N51" i="2" s="1"/>
  <c r="N50" i="2"/>
  <c r="AD52" i="2"/>
  <c r="AE36" i="2"/>
  <c r="AE13" i="2"/>
  <c r="AC88" i="2"/>
  <c r="AC14" i="2"/>
  <c r="AC33" i="2"/>
  <c r="AD26" i="2"/>
  <c r="AD32" i="2"/>
  <c r="AD79" i="2"/>
  <c r="AC70" i="2"/>
  <c r="AC6" i="2"/>
  <c r="AC47" i="2"/>
  <c r="AD63" i="2"/>
  <c r="AE76" i="2"/>
  <c r="AD44" i="2"/>
  <c r="AE69" i="2"/>
  <c r="AE5" i="2"/>
  <c r="AD36" i="2"/>
  <c r="AD88" i="2"/>
  <c r="AD89" i="2"/>
  <c r="AC72" i="2"/>
  <c r="AD28" i="2"/>
  <c r="AD80" i="2"/>
  <c r="AD81" i="2"/>
  <c r="AE14" i="2"/>
  <c r="AD25" i="2"/>
  <c r="AC64" i="2"/>
  <c r="AD84" i="2"/>
  <c r="AD20" i="2"/>
  <c r="AE45" i="2"/>
  <c r="AE84" i="2"/>
  <c r="AD72" i="2"/>
  <c r="AD8" i="2"/>
  <c r="AD49" i="2"/>
  <c r="AE86" i="2"/>
  <c r="AD73" i="2"/>
  <c r="AD69" i="2"/>
  <c r="AD5" i="2"/>
  <c r="AC8" i="2"/>
  <c r="AD76" i="2"/>
  <c r="AD12" i="2"/>
  <c r="AE60" i="2"/>
  <c r="AE37" i="2"/>
  <c r="AE52" i="2"/>
  <c r="AD64" i="2"/>
  <c r="AD17" i="2"/>
  <c r="AE22" i="2"/>
  <c r="AE78" i="2"/>
  <c r="AD41" i="2"/>
  <c r="AD61" i="2"/>
  <c r="AD33" i="2"/>
  <c r="AE12" i="2"/>
  <c r="AE29" i="2"/>
  <c r="AE20" i="2"/>
  <c r="AD56" i="2"/>
  <c r="AC80" i="2"/>
  <c r="AE6" i="2"/>
  <c r="AE70" i="2"/>
  <c r="AD9" i="2"/>
  <c r="AD53" i="2"/>
  <c r="AC24" i="2"/>
  <c r="AC40" i="2"/>
  <c r="Y179" i="1"/>
  <c r="W72" i="1"/>
  <c r="Y22" i="1"/>
  <c r="Y25" i="1"/>
  <c r="Y26" i="1"/>
  <c r="Y66" i="1"/>
  <c r="W127" i="1"/>
  <c r="P187" i="1"/>
  <c r="O187" i="1"/>
  <c r="N11" i="1"/>
  <c r="W11" i="1" s="1"/>
  <c r="N18" i="1"/>
  <c r="W18" i="1" s="1"/>
  <c r="AB36" i="1"/>
  <c r="Q60" i="1"/>
  <c r="N71" i="1"/>
  <c r="N79" i="1"/>
  <c r="W80" i="1" s="1"/>
  <c r="Q79" i="1"/>
  <c r="X83" i="1"/>
  <c r="P135" i="1"/>
  <c r="Y135" i="1" s="1"/>
  <c r="N135" i="1"/>
  <c r="W135" i="1" s="1"/>
  <c r="AB140" i="1"/>
  <c r="Q142" i="1"/>
  <c r="P142" i="1"/>
  <c r="Y142" i="1" s="1"/>
  <c r="O142" i="1"/>
  <c r="N142" i="1"/>
  <c r="O153" i="1"/>
  <c r="X154" i="1" s="1"/>
  <c r="P153" i="1"/>
  <c r="O177" i="1"/>
  <c r="P177" i="1"/>
  <c r="Y178" i="1" s="1"/>
  <c r="N205" i="1"/>
  <c r="P205" i="1"/>
  <c r="O205" i="1"/>
  <c r="N221" i="1"/>
  <c r="P221" i="1"/>
  <c r="Y221" i="1" s="1"/>
  <c r="O221" i="1"/>
  <c r="Y23" i="1"/>
  <c r="Y53" i="1"/>
  <c r="Y61" i="1"/>
  <c r="AB9" i="1"/>
  <c r="O11" i="1"/>
  <c r="X11" i="1" s="1"/>
  <c r="Q17" i="1"/>
  <c r="W19" i="1"/>
  <c r="AB22" i="1"/>
  <c r="AB24" i="1"/>
  <c r="AB25" i="1"/>
  <c r="Q29" i="1"/>
  <c r="Y42" i="1"/>
  <c r="AB52" i="1"/>
  <c r="AB55" i="1"/>
  <c r="AB62" i="1"/>
  <c r="Y63" i="1"/>
  <c r="AB65" i="1"/>
  <c r="AB66" i="1"/>
  <c r="AB69" i="1"/>
  <c r="O71" i="1"/>
  <c r="AB76" i="1"/>
  <c r="O79" i="1"/>
  <c r="X79" i="1" s="1"/>
  <c r="O80" i="1"/>
  <c r="AB92" i="1"/>
  <c r="P94" i="1"/>
  <c r="Y94" i="1" s="1"/>
  <c r="O94" i="1"/>
  <c r="N101" i="1"/>
  <c r="P101" i="1"/>
  <c r="O145" i="1"/>
  <c r="X145" i="1" s="1"/>
  <c r="N145" i="1"/>
  <c r="O150" i="1"/>
  <c r="P150" i="1"/>
  <c r="Y150" i="1" s="1"/>
  <c r="P165" i="1"/>
  <c r="Y165" i="1" s="1"/>
  <c r="N165" i="1"/>
  <c r="Q182" i="1"/>
  <c r="P182" i="1"/>
  <c r="O182" i="1"/>
  <c r="X183" i="1" s="1"/>
  <c r="N182" i="1"/>
  <c r="W183" i="1" s="1"/>
  <c r="Q190" i="1"/>
  <c r="O190" i="1"/>
  <c r="N190" i="1"/>
  <c r="Q191" i="1"/>
  <c r="P191" i="1"/>
  <c r="Y191" i="1" s="1"/>
  <c r="O191" i="1"/>
  <c r="N191" i="1"/>
  <c r="W191" i="1" s="1"/>
  <c r="Q214" i="1"/>
  <c r="W102" i="1"/>
  <c r="O119" i="1"/>
  <c r="X119" i="1" s="1"/>
  <c r="Q119" i="1"/>
  <c r="P119" i="1"/>
  <c r="Y119" i="1" s="1"/>
  <c r="N119" i="1"/>
  <c r="W119" i="1" s="1"/>
  <c r="Y30" i="1"/>
  <c r="Y38" i="1"/>
  <c r="X102" i="1"/>
  <c r="N141" i="1"/>
  <c r="W142" i="1" s="1"/>
  <c r="P141" i="1"/>
  <c r="O141" i="1"/>
  <c r="P152" i="1"/>
  <c r="N152" i="1"/>
  <c r="Y180" i="1"/>
  <c r="AB12" i="1"/>
  <c r="O15" i="1"/>
  <c r="X15" i="1" s="1"/>
  <c r="AB17" i="1"/>
  <c r="AB26" i="1"/>
  <c r="P37" i="1"/>
  <c r="Y37" i="1" s="1"/>
  <c r="Y47" i="1"/>
  <c r="O54" i="1"/>
  <c r="X54" i="1" s="1"/>
  <c r="N55" i="1"/>
  <c r="W55" i="1" s="1"/>
  <c r="AB63" i="1"/>
  <c r="AB70" i="1"/>
  <c r="O72" i="1"/>
  <c r="AB80" i="1"/>
  <c r="N112" i="1"/>
  <c r="W113" i="1" s="1"/>
  <c r="P112" i="1"/>
  <c r="Y113" i="1" s="1"/>
  <c r="O112" i="1"/>
  <c r="AB186" i="1"/>
  <c r="P193" i="1"/>
  <c r="Y193" i="1" s="1"/>
  <c r="O193" i="1"/>
  <c r="N193" i="1"/>
  <c r="Q199" i="1"/>
  <c r="O199" i="1"/>
  <c r="N199" i="1"/>
  <c r="W199" i="1" s="1"/>
  <c r="Q200" i="1"/>
  <c r="O200" i="1"/>
  <c r="X200" i="1" s="1"/>
  <c r="N200" i="1"/>
  <c r="AB217" i="1"/>
  <c r="X101" i="1"/>
  <c r="Y183" i="1"/>
  <c r="P214" i="1"/>
  <c r="Y214" i="1" s="1"/>
  <c r="O214" i="1"/>
  <c r="X214" i="1" s="1"/>
  <c r="N214" i="1"/>
  <c r="W214" i="1" s="1"/>
  <c r="P217" i="1"/>
  <c r="O217" i="1"/>
  <c r="N217" i="1"/>
  <c r="N15" i="1"/>
  <c r="W15" i="1" s="1"/>
  <c r="Y31" i="1"/>
  <c r="Y39" i="1"/>
  <c r="AB42" i="1"/>
  <c r="Y46" i="1"/>
  <c r="Y58" i="1"/>
  <c r="AB61" i="1"/>
  <c r="O100" i="1"/>
  <c r="P100" i="1"/>
  <c r="AB14" i="1"/>
  <c r="X16" i="1"/>
  <c r="N23" i="1"/>
  <c r="W23" i="1" s="1"/>
  <c r="N26" i="1"/>
  <c r="W26" i="1" s="1"/>
  <c r="AB30" i="1"/>
  <c r="AB33" i="1"/>
  <c r="AB34" i="1"/>
  <c r="AB44" i="1"/>
  <c r="AB46" i="1"/>
  <c r="AB48" i="1"/>
  <c r="AB49" i="1"/>
  <c r="P53" i="1"/>
  <c r="P54" i="1"/>
  <c r="Y54" i="1" s="1"/>
  <c r="O55" i="1"/>
  <c r="AB57" i="1"/>
  <c r="N66" i="1"/>
  <c r="W66" i="1" s="1"/>
  <c r="P72" i="1"/>
  <c r="Y72" i="1" s="1"/>
  <c r="AB85" i="1"/>
  <c r="Q96" i="1"/>
  <c r="Q99" i="1"/>
  <c r="AB108" i="1"/>
  <c r="Q112" i="1"/>
  <c r="X114" i="1"/>
  <c r="O132" i="1"/>
  <c r="X133" i="1" s="1"/>
  <c r="P132" i="1"/>
  <c r="Y132" i="1" s="1"/>
  <c r="AB153" i="1"/>
  <c r="AB152" i="1"/>
  <c r="W175" i="1"/>
  <c r="N178" i="1"/>
  <c r="P178" i="1"/>
  <c r="O178" i="1"/>
  <c r="P185" i="1"/>
  <c r="Y185" i="1" s="1"/>
  <c r="Q185" i="1"/>
  <c r="P199" i="1"/>
  <c r="Y199" i="1" s="1"/>
  <c r="Y207" i="1"/>
  <c r="Q222" i="1"/>
  <c r="O222" i="1"/>
  <c r="X222" i="1" s="1"/>
  <c r="N222" i="1"/>
  <c r="X30" i="1"/>
  <c r="X34" i="1"/>
  <c r="X58" i="1"/>
  <c r="Y79" i="1"/>
  <c r="Q156" i="1"/>
  <c r="P156" i="1"/>
  <c r="Y156" i="1" s="1"/>
  <c r="O156" i="1"/>
  <c r="X156" i="1" s="1"/>
  <c r="N156" i="1"/>
  <c r="O172" i="1"/>
  <c r="X172" i="1" s="1"/>
  <c r="Q172" i="1"/>
  <c r="P172" i="1"/>
  <c r="Y172" i="1" s="1"/>
  <c r="N172" i="1"/>
  <c r="Y14" i="1"/>
  <c r="AB21" i="1"/>
  <c r="P29" i="1"/>
  <c r="Y33" i="1"/>
  <c r="X47" i="1"/>
  <c r="O108" i="1"/>
  <c r="P108" i="1"/>
  <c r="Y108" i="1" s="1"/>
  <c r="Q123" i="1"/>
  <c r="N123" i="1"/>
  <c r="X164" i="1"/>
  <c r="Q179" i="1"/>
  <c r="O179" i="1"/>
  <c r="N179" i="1"/>
  <c r="W179" i="1" s="1"/>
  <c r="AB8" i="1"/>
  <c r="Q18" i="1"/>
  <c r="O22" i="1"/>
  <c r="X22" i="1" s="1"/>
  <c r="O25" i="1"/>
  <c r="X26" i="1" s="1"/>
  <c r="AB28" i="1"/>
  <c r="AB37" i="1"/>
  <c r="AB39" i="1"/>
  <c r="AB50" i="1"/>
  <c r="Q52" i="1"/>
  <c r="AB56" i="1"/>
  <c r="O62" i="1"/>
  <c r="X62" i="1" s="1"/>
  <c r="AB67" i="1"/>
  <c r="Q69" i="1"/>
  <c r="AB73" i="1"/>
  <c r="AB74" i="1"/>
  <c r="AB77" i="1"/>
  <c r="N87" i="1"/>
  <c r="W88" i="1" s="1"/>
  <c r="P87" i="1"/>
  <c r="O87" i="1"/>
  <c r="X87" i="1" s="1"/>
  <c r="Y88" i="1"/>
  <c r="AB93" i="1"/>
  <c r="Y117" i="1"/>
  <c r="O140" i="1"/>
  <c r="Q140" i="1"/>
  <c r="P140" i="1"/>
  <c r="Y141" i="1" s="1"/>
  <c r="AB149" i="1"/>
  <c r="Y154" i="1"/>
  <c r="Y170" i="1"/>
  <c r="Q178" i="1"/>
  <c r="P206" i="1"/>
  <c r="Y206" i="1" s="1"/>
  <c r="O206" i="1"/>
  <c r="X206" i="1" s="1"/>
  <c r="N206" i="1"/>
  <c r="P222" i="1"/>
  <c r="Y222" i="1" s="1"/>
  <c r="O225" i="1"/>
  <c r="N225" i="1"/>
  <c r="Y91" i="1"/>
  <c r="Y97" i="1"/>
  <c r="P111" i="1"/>
  <c r="Y111" i="1" s="1"/>
  <c r="P133" i="1"/>
  <c r="Y133" i="1" s="1"/>
  <c r="AB138" i="1"/>
  <c r="AB142" i="1"/>
  <c r="Q147" i="1"/>
  <c r="AB166" i="1"/>
  <c r="X184" i="1"/>
  <c r="AB208" i="1"/>
  <c r="AB209" i="1"/>
  <c r="Y226" i="1"/>
  <c r="AB229" i="1"/>
  <c r="Y231" i="1"/>
  <c r="Q74" i="1"/>
  <c r="AB81" i="1"/>
  <c r="AB82" i="1"/>
  <c r="AB83" i="1"/>
  <c r="Q85" i="1"/>
  <c r="P86" i="1"/>
  <c r="N91" i="1"/>
  <c r="W91" i="1" s="1"/>
  <c r="AB94" i="1"/>
  <c r="AB109" i="1"/>
  <c r="Y114" i="1"/>
  <c r="Q115" i="1"/>
  <c r="O117" i="1"/>
  <c r="X118" i="1" s="1"/>
  <c r="AB136" i="1"/>
  <c r="Q141" i="1"/>
  <c r="P151" i="1"/>
  <c r="Y151" i="1" s="1"/>
  <c r="O154" i="1"/>
  <c r="N155" i="1"/>
  <c r="W155" i="1" s="1"/>
  <c r="Q160" i="1"/>
  <c r="P161" i="1"/>
  <c r="Y162" i="1" s="1"/>
  <c r="P169" i="1"/>
  <c r="O170" i="1"/>
  <c r="N171" i="1"/>
  <c r="W171" i="1" s="1"/>
  <c r="Y174" i="1"/>
  <c r="P184" i="1"/>
  <c r="Y184" i="1" s="1"/>
  <c r="Q187" i="1"/>
  <c r="Q193" i="1"/>
  <c r="AB196" i="1"/>
  <c r="AB202" i="1"/>
  <c r="Q205" i="1"/>
  <c r="AB215" i="1"/>
  <c r="Q217" i="1"/>
  <c r="N223" i="1"/>
  <c r="W223" i="1" s="1"/>
  <c r="N226" i="1"/>
  <c r="W226" i="1" s="1"/>
  <c r="AB227" i="1"/>
  <c r="Q231" i="1"/>
  <c r="Q235" i="1"/>
  <c r="Y237" i="1"/>
  <c r="Y118" i="1"/>
  <c r="AB132" i="1"/>
  <c r="AB134" i="1"/>
  <c r="AB135" i="1"/>
  <c r="Q139" i="1"/>
  <c r="X194" i="1"/>
  <c r="Y218" i="1"/>
  <c r="AB221" i="1"/>
  <c r="AB237" i="1"/>
  <c r="X122" i="1"/>
  <c r="AB131" i="1"/>
  <c r="Y143" i="1"/>
  <c r="AB157" i="1"/>
  <c r="P173" i="1"/>
  <c r="AB175" i="1"/>
  <c r="AB178" i="1"/>
  <c r="AB184" i="1"/>
  <c r="Y192" i="1"/>
  <c r="AB198" i="1"/>
  <c r="N209" i="1"/>
  <c r="W210" i="1" s="1"/>
  <c r="Y210" i="1"/>
  <c r="Q211" i="1"/>
  <c r="N215" i="1"/>
  <c r="N218" i="1"/>
  <c r="W218" i="1" s="1"/>
  <c r="AB224" i="1"/>
  <c r="AB225" i="1"/>
  <c r="Q228" i="1"/>
  <c r="N229" i="1"/>
  <c r="N230" i="1"/>
  <c r="W230" i="1" s="1"/>
  <c r="N233" i="1"/>
  <c r="N234" i="1"/>
  <c r="W234" i="1" s="1"/>
  <c r="AB89" i="1"/>
  <c r="AB90" i="1"/>
  <c r="Y95" i="1"/>
  <c r="Q98" i="1"/>
  <c r="AB113" i="1"/>
  <c r="AB120" i="1"/>
  <c r="AB128" i="1"/>
  <c r="Q133" i="1"/>
  <c r="Q136" i="1"/>
  <c r="Q138" i="1"/>
  <c r="N139" i="1"/>
  <c r="AB154" i="1"/>
  <c r="AB170" i="1"/>
  <c r="AB189" i="1"/>
  <c r="AB195" i="1"/>
  <c r="N207" i="1"/>
  <c r="O209" i="1"/>
  <c r="AB212" i="1"/>
  <c r="O215" i="1"/>
  <c r="X215" i="1" s="1"/>
  <c r="O229" i="1"/>
  <c r="O230" i="1"/>
  <c r="X230" i="1" s="1"/>
  <c r="O233" i="1"/>
  <c r="AB88" i="1"/>
  <c r="Q109" i="1"/>
  <c r="W110" i="1"/>
  <c r="AB124" i="1"/>
  <c r="Q145" i="1"/>
  <c r="Q152" i="1"/>
  <c r="AB162" i="1"/>
  <c r="Y163" i="1"/>
  <c r="W164" i="1"/>
  <c r="Q165" i="1"/>
  <c r="O166" i="1"/>
  <c r="AB167" i="1"/>
  <c r="AB173" i="1"/>
  <c r="Q177" i="1"/>
  <c r="AB193" i="1"/>
  <c r="Q196" i="1"/>
  <c r="AB200" i="1"/>
  <c r="Q202" i="1"/>
  <c r="AB203" i="1"/>
  <c r="Q221" i="1"/>
  <c r="AB223" i="1"/>
  <c r="Q225" i="1"/>
  <c r="Q227" i="1"/>
  <c r="AB234" i="1"/>
  <c r="Q56" i="1"/>
  <c r="O56" i="1"/>
  <c r="X56" i="1" s="1"/>
  <c r="N56" i="1"/>
  <c r="W56" i="1" s="1"/>
  <c r="W57" i="1"/>
  <c r="W58" i="1"/>
  <c r="O9" i="1"/>
  <c r="Q11" i="1"/>
  <c r="N16" i="1"/>
  <c r="W16" i="1" s="1"/>
  <c r="P35" i="1"/>
  <c r="Y35" i="1" s="1"/>
  <c r="O35" i="1"/>
  <c r="X35" i="1" s="1"/>
  <c r="N35" i="1"/>
  <c r="W35" i="1" s="1"/>
  <c r="AB43" i="1"/>
  <c r="P56" i="1"/>
  <c r="Y56" i="1" s="1"/>
  <c r="P67" i="1"/>
  <c r="Y67" i="1" s="1"/>
  <c r="O67" i="1"/>
  <c r="X67" i="1" s="1"/>
  <c r="N67" i="1"/>
  <c r="N73" i="1"/>
  <c r="W73" i="1" s="1"/>
  <c r="Q73" i="1"/>
  <c r="P73" i="1"/>
  <c r="O73" i="1"/>
  <c r="X73" i="1" s="1"/>
  <c r="P75" i="1"/>
  <c r="Y75" i="1" s="1"/>
  <c r="O75" i="1"/>
  <c r="X75" i="1" s="1"/>
  <c r="N75" i="1"/>
  <c r="W75" i="1" s="1"/>
  <c r="AB99" i="1"/>
  <c r="AB100" i="1"/>
  <c r="P9" i="1"/>
  <c r="Y10" i="1" s="1"/>
  <c r="Y11" i="1"/>
  <c r="O13" i="1"/>
  <c r="N13" i="1"/>
  <c r="P16" i="1"/>
  <c r="Y16" i="1" s="1"/>
  <c r="Q19" i="1"/>
  <c r="Q48" i="1"/>
  <c r="O48" i="1"/>
  <c r="N48" i="1"/>
  <c r="W48" i="1" s="1"/>
  <c r="W49" i="1"/>
  <c r="Y57" i="1"/>
  <c r="Q59" i="1"/>
  <c r="Y71" i="1"/>
  <c r="X23" i="1"/>
  <c r="X31" i="1"/>
  <c r="W10" i="1"/>
  <c r="P27" i="1"/>
  <c r="Y27" i="1" s="1"/>
  <c r="O27" i="1"/>
  <c r="X27" i="1" s="1"/>
  <c r="AB38" i="1"/>
  <c r="Q40" i="1"/>
  <c r="O40" i="1"/>
  <c r="N40" i="1"/>
  <c r="W40" i="1" s="1"/>
  <c r="W41" i="1"/>
  <c r="W42" i="1"/>
  <c r="Y49" i="1"/>
  <c r="Y62" i="1"/>
  <c r="X71" i="1"/>
  <c r="P19" i="1"/>
  <c r="Y19" i="1" s="1"/>
  <c r="O19" i="1"/>
  <c r="X19" i="1" s="1"/>
  <c r="O157" i="1"/>
  <c r="X157" i="1" s="1"/>
  <c r="N157" i="1"/>
  <c r="W157" i="1" s="1"/>
  <c r="P157" i="1"/>
  <c r="Y157" i="1" s="1"/>
  <c r="N7" i="1"/>
  <c r="W8" i="1" s="1"/>
  <c r="O8" i="1"/>
  <c r="X8" i="1" s="1"/>
  <c r="Y15" i="1"/>
  <c r="AB16" i="1"/>
  <c r="O17" i="1"/>
  <c r="X17" i="1" s="1"/>
  <c r="P20" i="1"/>
  <c r="O20" i="1"/>
  <c r="N20" i="1"/>
  <c r="W20" i="1" s="1"/>
  <c r="O24" i="1"/>
  <c r="X24" i="1" s="1"/>
  <c r="N24" i="1"/>
  <c r="N27" i="1"/>
  <c r="W27" i="1" s="1"/>
  <c r="P28" i="1"/>
  <c r="O28" i="1"/>
  <c r="N28" i="1"/>
  <c r="W28" i="1" s="1"/>
  <c r="O32" i="1"/>
  <c r="N32" i="1"/>
  <c r="W32" i="1" s="1"/>
  <c r="P40" i="1"/>
  <c r="Y40" i="1" s="1"/>
  <c r="X50" i="1"/>
  <c r="P51" i="1"/>
  <c r="Y51" i="1" s="1"/>
  <c r="O51" i="1"/>
  <c r="X51" i="1" s="1"/>
  <c r="N51" i="1"/>
  <c r="W51" i="1" s="1"/>
  <c r="AB59" i="1"/>
  <c r="X63" i="1"/>
  <c r="P7" i="1"/>
  <c r="P8" i="1"/>
  <c r="P12" i="1"/>
  <c r="Y12" i="1" s="1"/>
  <c r="O12" i="1"/>
  <c r="X12" i="1" s="1"/>
  <c r="W14" i="1"/>
  <c r="P17" i="1"/>
  <c r="Y17" i="1" s="1"/>
  <c r="X45" i="1"/>
  <c r="Q64" i="1"/>
  <c r="O64" i="1"/>
  <c r="N64" i="1"/>
  <c r="W64" i="1" s="1"/>
  <c r="W65" i="1"/>
  <c r="P77" i="1"/>
  <c r="Y78" i="1" s="1"/>
  <c r="O77" i="1"/>
  <c r="X78" i="1" s="1"/>
  <c r="N77" i="1"/>
  <c r="Q77" i="1"/>
  <c r="Q9" i="1"/>
  <c r="Q16" i="1"/>
  <c r="P59" i="1"/>
  <c r="Y59" i="1" s="1"/>
  <c r="O59" i="1"/>
  <c r="X59" i="1" s="1"/>
  <c r="N59" i="1"/>
  <c r="W59" i="1" s="1"/>
  <c r="P6" i="1"/>
  <c r="Q7" i="1"/>
  <c r="N12" i="1"/>
  <c r="W12" i="1" s="1"/>
  <c r="AB23" i="1"/>
  <c r="Q24" i="1"/>
  <c r="W25" i="1"/>
  <c r="AB27" i="1"/>
  <c r="AB31" i="1"/>
  <c r="Q32" i="1"/>
  <c r="X42" i="1"/>
  <c r="P43" i="1"/>
  <c r="Y43" i="1" s="1"/>
  <c r="O43" i="1"/>
  <c r="X43" i="1" s="1"/>
  <c r="N43" i="1"/>
  <c r="W43" i="1" s="1"/>
  <c r="AB51" i="1"/>
  <c r="P64" i="1"/>
  <c r="Y64" i="1" s="1"/>
  <c r="P84" i="1"/>
  <c r="Y84" i="1" s="1"/>
  <c r="O84" i="1"/>
  <c r="X84" i="1" s="1"/>
  <c r="N84" i="1"/>
  <c r="W84" i="1" s="1"/>
  <c r="O81" i="1"/>
  <c r="X81" i="1" s="1"/>
  <c r="N81" i="1"/>
  <c r="W81" i="1" s="1"/>
  <c r="P85" i="1"/>
  <c r="O85" i="1"/>
  <c r="X86" i="1" s="1"/>
  <c r="N85" i="1"/>
  <c r="Q103" i="1"/>
  <c r="O103" i="1"/>
  <c r="X103" i="1" s="1"/>
  <c r="N103" i="1"/>
  <c r="W103" i="1" s="1"/>
  <c r="Q104" i="1"/>
  <c r="O104" i="1"/>
  <c r="X104" i="1" s="1"/>
  <c r="N104" i="1"/>
  <c r="X170" i="1"/>
  <c r="X171" i="1"/>
  <c r="O70" i="1"/>
  <c r="N70" i="1"/>
  <c r="Q75" i="1"/>
  <c r="P81" i="1"/>
  <c r="Y90" i="1"/>
  <c r="P92" i="1"/>
  <c r="Y92" i="1" s="1"/>
  <c r="O92" i="1"/>
  <c r="X92" i="1" s="1"/>
  <c r="N92" i="1"/>
  <c r="P103" i="1"/>
  <c r="Y103" i="1" s="1"/>
  <c r="P104" i="1"/>
  <c r="Y104" i="1" s="1"/>
  <c r="Q105" i="1"/>
  <c r="O105" i="1"/>
  <c r="N105" i="1"/>
  <c r="P130" i="1"/>
  <c r="Y130" i="1" s="1"/>
  <c r="N130" i="1"/>
  <c r="W130" i="1" s="1"/>
  <c r="O130" i="1"/>
  <c r="X130" i="1" s="1"/>
  <c r="P168" i="1"/>
  <c r="O168" i="1"/>
  <c r="N168" i="1"/>
  <c r="Q168" i="1"/>
  <c r="O201" i="1"/>
  <c r="N201" i="1"/>
  <c r="W201" i="1" s="1"/>
  <c r="P201" i="1"/>
  <c r="W82" i="1"/>
  <c r="Y87" i="1"/>
  <c r="O106" i="1"/>
  <c r="N106" i="1"/>
  <c r="W106" i="1" s="1"/>
  <c r="N36" i="1"/>
  <c r="W36" i="1" s="1"/>
  <c r="N44" i="1"/>
  <c r="W44" i="1" s="1"/>
  <c r="N52" i="1"/>
  <c r="W52" i="1" s="1"/>
  <c r="N60" i="1"/>
  <c r="N68" i="1"/>
  <c r="W68" i="1" s="1"/>
  <c r="P69" i="1"/>
  <c r="Y69" i="1" s="1"/>
  <c r="O69" i="1"/>
  <c r="P106" i="1"/>
  <c r="Y106" i="1" s="1"/>
  <c r="P146" i="1"/>
  <c r="Y146" i="1" s="1"/>
  <c r="O146" i="1"/>
  <c r="X146" i="1" s="1"/>
  <c r="N146" i="1"/>
  <c r="N21" i="1"/>
  <c r="W21" i="1" s="1"/>
  <c r="N29" i="1"/>
  <c r="O36" i="1"/>
  <c r="X36" i="1" s="1"/>
  <c r="N37" i="1"/>
  <c r="W37" i="1" s="1"/>
  <c r="O44" i="1"/>
  <c r="N45" i="1"/>
  <c r="W46" i="1" s="1"/>
  <c r="O52" i="1"/>
  <c r="N53" i="1"/>
  <c r="O60" i="1"/>
  <c r="N61" i="1"/>
  <c r="W61" i="1" s="1"/>
  <c r="O68" i="1"/>
  <c r="X68" i="1" s="1"/>
  <c r="N69" i="1"/>
  <c r="W69" i="1" s="1"/>
  <c r="P76" i="1"/>
  <c r="Y76" i="1" s="1"/>
  <c r="O76" i="1"/>
  <c r="X76" i="1" s="1"/>
  <c r="Y83" i="1"/>
  <c r="X88" i="1"/>
  <c r="P99" i="1"/>
  <c r="O99" i="1"/>
  <c r="N99" i="1"/>
  <c r="W100" i="1" s="1"/>
  <c r="Y102" i="1"/>
  <c r="AB110" i="1"/>
  <c r="AB111" i="1"/>
  <c r="N76" i="1"/>
  <c r="W76" i="1" s="1"/>
  <c r="Q84" i="1"/>
  <c r="AB87" i="1"/>
  <c r="Q89" i="1"/>
  <c r="O89" i="1"/>
  <c r="X89" i="1" s="1"/>
  <c r="N89" i="1"/>
  <c r="W89" i="1" s="1"/>
  <c r="Y98" i="1"/>
  <c r="X112" i="1"/>
  <c r="X113" i="1"/>
  <c r="X155" i="1"/>
  <c r="W101" i="1"/>
  <c r="X111" i="1"/>
  <c r="O116" i="1"/>
  <c r="N116" i="1"/>
  <c r="Q127" i="1"/>
  <c r="O127" i="1"/>
  <c r="X127" i="1" s="1"/>
  <c r="P136" i="1"/>
  <c r="Y136" i="1" s="1"/>
  <c r="N136" i="1"/>
  <c r="W136" i="1" s="1"/>
  <c r="AB141" i="1"/>
  <c r="Q143" i="1"/>
  <c r="O143" i="1"/>
  <c r="X143" i="1" s="1"/>
  <c r="N143" i="1"/>
  <c r="W143" i="1" s="1"/>
  <c r="Y144" i="1"/>
  <c r="AB150" i="1"/>
  <c r="AB151" i="1"/>
  <c r="X182" i="1"/>
  <c r="AB96" i="1"/>
  <c r="X100" i="1"/>
  <c r="P123" i="1"/>
  <c r="Y123" i="1" s="1"/>
  <c r="O123" i="1"/>
  <c r="X123" i="1" s="1"/>
  <c r="Q130" i="1"/>
  <c r="Q146" i="1"/>
  <c r="Y147" i="1"/>
  <c r="X169" i="1"/>
  <c r="W120" i="1"/>
  <c r="P128" i="1"/>
  <c r="Y128" i="1" s="1"/>
  <c r="N128" i="1"/>
  <c r="W128" i="1" s="1"/>
  <c r="X134" i="1"/>
  <c r="X137" i="1"/>
  <c r="P138" i="1"/>
  <c r="Y138" i="1" s="1"/>
  <c r="O138" i="1"/>
  <c r="X138" i="1" s="1"/>
  <c r="N138" i="1"/>
  <c r="W138" i="1" s="1"/>
  <c r="X149" i="1"/>
  <c r="P176" i="1"/>
  <c r="O176" i="1"/>
  <c r="N176" i="1"/>
  <c r="W176" i="1" s="1"/>
  <c r="Q176" i="1"/>
  <c r="N93" i="1"/>
  <c r="N95" i="1"/>
  <c r="W95" i="1" s="1"/>
  <c r="N96" i="1"/>
  <c r="N97" i="1"/>
  <c r="N98" i="1"/>
  <c r="W98" i="1" s="1"/>
  <c r="Q100" i="1"/>
  <c r="W109" i="1"/>
  <c r="P115" i="1"/>
  <c r="O115" i="1"/>
  <c r="X115" i="1" s="1"/>
  <c r="AB118" i="1"/>
  <c r="O120" i="1"/>
  <c r="AB125" i="1"/>
  <c r="X126" i="1"/>
  <c r="AB127" i="1"/>
  <c r="O128" i="1"/>
  <c r="X128" i="1" s="1"/>
  <c r="AB133" i="1"/>
  <c r="Y137" i="1"/>
  <c r="X150" i="1"/>
  <c r="N78" i="1"/>
  <c r="W78" i="1" s="1"/>
  <c r="N86" i="1"/>
  <c r="W86" i="1" s="1"/>
  <c r="O93" i="1"/>
  <c r="O95" i="1"/>
  <c r="X95" i="1" s="1"/>
  <c r="O96" i="1"/>
  <c r="X96" i="1" s="1"/>
  <c r="O97" i="1"/>
  <c r="X97" i="1" s="1"/>
  <c r="O98" i="1"/>
  <c r="AB104" i="1"/>
  <c r="X108" i="1"/>
  <c r="O109" i="1"/>
  <c r="N115" i="1"/>
  <c r="W115" i="1" s="1"/>
  <c r="P120" i="1"/>
  <c r="Y120" i="1" s="1"/>
  <c r="Y122" i="1"/>
  <c r="AB123" i="1"/>
  <c r="O124" i="1"/>
  <c r="N124" i="1"/>
  <c r="W131" i="1"/>
  <c r="Y134" i="1"/>
  <c r="X151" i="1"/>
  <c r="Y164" i="1"/>
  <c r="W165" i="1"/>
  <c r="Q106" i="1"/>
  <c r="Y107" i="1"/>
  <c r="N108" i="1"/>
  <c r="W108" i="1" s="1"/>
  <c r="P109" i="1"/>
  <c r="Y109" i="1" s="1"/>
  <c r="W112" i="1"/>
  <c r="N122" i="1"/>
  <c r="W122" i="1" s="1"/>
  <c r="P124" i="1"/>
  <c r="Y126" i="1"/>
  <c r="X132" i="1"/>
  <c r="Q135" i="1"/>
  <c r="O135" i="1"/>
  <c r="X135" i="1" s="1"/>
  <c r="AB168" i="1"/>
  <c r="P159" i="1"/>
  <c r="Y159" i="1" s="1"/>
  <c r="O159" i="1"/>
  <c r="AB159" i="1"/>
  <c r="P195" i="1"/>
  <c r="Y195" i="1" s="1"/>
  <c r="O195" i="1"/>
  <c r="X195" i="1" s="1"/>
  <c r="N195" i="1"/>
  <c r="W195" i="1" s="1"/>
  <c r="Q208" i="1"/>
  <c r="O208" i="1"/>
  <c r="N208" i="1"/>
  <c r="W208" i="1" s="1"/>
  <c r="P208" i="1"/>
  <c r="Y208" i="1" s="1"/>
  <c r="N144" i="1"/>
  <c r="AB155" i="1"/>
  <c r="N159" i="1"/>
  <c r="N166" i="1"/>
  <c r="W166" i="1" s="1"/>
  <c r="AB171" i="1"/>
  <c r="P175" i="1"/>
  <c r="Y175" i="1" s="1"/>
  <c r="O175" i="1"/>
  <c r="X175" i="1" s="1"/>
  <c r="W194" i="1"/>
  <c r="Q151" i="1"/>
  <c r="Q158" i="1"/>
  <c r="P160" i="1"/>
  <c r="O160" i="1"/>
  <c r="X160" i="1" s="1"/>
  <c r="N160" i="1"/>
  <c r="W160" i="1" s="1"/>
  <c r="Q167" i="1"/>
  <c r="X178" i="1"/>
  <c r="O180" i="1"/>
  <c r="X180" i="1" s="1"/>
  <c r="N180" i="1"/>
  <c r="W180" i="1" s="1"/>
  <c r="Q189" i="1"/>
  <c r="Y158" i="1"/>
  <c r="P167" i="1"/>
  <c r="Y167" i="1" s="1"/>
  <c r="O167" i="1"/>
  <c r="X167" i="1" s="1"/>
  <c r="O189" i="1"/>
  <c r="N189" i="1"/>
  <c r="P189" i="1"/>
  <c r="Y189" i="1" s="1"/>
  <c r="X198" i="1"/>
  <c r="X199" i="1"/>
  <c r="O131" i="1"/>
  <c r="X131" i="1" s="1"/>
  <c r="N132" i="1"/>
  <c r="W132" i="1" s="1"/>
  <c r="O139" i="1"/>
  <c r="X139" i="1" s="1"/>
  <c r="N140" i="1"/>
  <c r="O147" i="1"/>
  <c r="N148" i="1"/>
  <c r="W148" i="1" s="1"/>
  <c r="N149" i="1"/>
  <c r="W149" i="1" s="1"/>
  <c r="N150" i="1"/>
  <c r="W150" i="1" s="1"/>
  <c r="N151" i="1"/>
  <c r="O152" i="1"/>
  <c r="X152" i="1" s="1"/>
  <c r="Y155" i="1"/>
  <c r="N158" i="1"/>
  <c r="W158" i="1" s="1"/>
  <c r="AB163" i="1"/>
  <c r="O165" i="1"/>
  <c r="X165" i="1" s="1"/>
  <c r="N167" i="1"/>
  <c r="Y171" i="1"/>
  <c r="W173" i="1"/>
  <c r="Q180" i="1"/>
  <c r="Y198" i="1"/>
  <c r="P203" i="1"/>
  <c r="Y203" i="1" s="1"/>
  <c r="O203" i="1"/>
  <c r="N203" i="1"/>
  <c r="Q157" i="1"/>
  <c r="O158" i="1"/>
  <c r="X158" i="1" s="1"/>
  <c r="X161" i="1"/>
  <c r="O173" i="1"/>
  <c r="X173" i="1" s="1"/>
  <c r="N181" i="1"/>
  <c r="P181" i="1"/>
  <c r="O181" i="1"/>
  <c r="X181" i="1" s="1"/>
  <c r="P186" i="1"/>
  <c r="Y186" i="1" s="1"/>
  <c r="O186" i="1"/>
  <c r="N186" i="1"/>
  <c r="AB194" i="1"/>
  <c r="X223" i="1"/>
  <c r="W190" i="1"/>
  <c r="W197" i="1"/>
  <c r="Q186" i="1"/>
  <c r="N187" i="1"/>
  <c r="Q195" i="1"/>
  <c r="AB199" i="1"/>
  <c r="P204" i="1"/>
  <c r="O204" i="1"/>
  <c r="X204" i="1" s="1"/>
  <c r="N204" i="1"/>
  <c r="W204" i="1" s="1"/>
  <c r="Y230" i="1"/>
  <c r="Q216" i="1"/>
  <c r="O216" i="1"/>
  <c r="N216" i="1"/>
  <c r="W216" i="1" s="1"/>
  <c r="AB222" i="1"/>
  <c r="Q224" i="1"/>
  <c r="O224" i="1"/>
  <c r="N224" i="1"/>
  <c r="W224" i="1" s="1"/>
  <c r="X231" i="1"/>
  <c r="AB179" i="1"/>
  <c r="N185" i="1"/>
  <c r="N192" i="1"/>
  <c r="P200" i="1"/>
  <c r="Y200" i="1" s="1"/>
  <c r="P216" i="1"/>
  <c r="Y216" i="1" s="1"/>
  <c r="Y220" i="1"/>
  <c r="W221" i="1"/>
  <c r="P224" i="1"/>
  <c r="Y224" i="1" s="1"/>
  <c r="AB230" i="1"/>
  <c r="Q232" i="1"/>
  <c r="O232" i="1"/>
  <c r="N232" i="1"/>
  <c r="W232" i="1" s="1"/>
  <c r="N153" i="1"/>
  <c r="W153" i="1" s="1"/>
  <c r="N161" i="1"/>
  <c r="N169" i="1"/>
  <c r="W169" i="1" s="1"/>
  <c r="N177" i="1"/>
  <c r="W177" i="1" s="1"/>
  <c r="N184" i="1"/>
  <c r="W184" i="1" s="1"/>
  <c r="O185" i="1"/>
  <c r="X185" i="1" s="1"/>
  <c r="P188" i="1"/>
  <c r="Y188" i="1" s="1"/>
  <c r="O188" i="1"/>
  <c r="O192" i="1"/>
  <c r="P196" i="1"/>
  <c r="Y196" i="1" s="1"/>
  <c r="O196" i="1"/>
  <c r="X196" i="1" s="1"/>
  <c r="N196" i="1"/>
  <c r="N202" i="1"/>
  <c r="W206" i="1"/>
  <c r="P211" i="1"/>
  <c r="Y211" i="1" s="1"/>
  <c r="O211" i="1"/>
  <c r="X211" i="1" s="1"/>
  <c r="N211" i="1"/>
  <c r="W211" i="1" s="1"/>
  <c r="X213" i="1"/>
  <c r="P219" i="1"/>
  <c r="Y219" i="1" s="1"/>
  <c r="O219" i="1"/>
  <c r="N219" i="1"/>
  <c r="W219" i="1" s="1"/>
  <c r="P227" i="1"/>
  <c r="Y227" i="1" s="1"/>
  <c r="O227" i="1"/>
  <c r="N227" i="1"/>
  <c r="W227" i="1" s="1"/>
  <c r="W229" i="1"/>
  <c r="P232" i="1"/>
  <c r="Y232" i="1" s="1"/>
  <c r="Y234" i="1"/>
  <c r="P235" i="1"/>
  <c r="Y235" i="1" s="1"/>
  <c r="O235" i="1"/>
  <c r="N235" i="1"/>
  <c r="W235" i="1" s="1"/>
  <c r="N188" i="1"/>
  <c r="W188" i="1" s="1"/>
  <c r="Y194" i="1"/>
  <c r="W198" i="1"/>
  <c r="Q201" i="1"/>
  <c r="O202" i="1"/>
  <c r="X202" i="1" s="1"/>
  <c r="Q203" i="1"/>
  <c r="X210" i="1"/>
  <c r="Y217" i="1"/>
  <c r="W222" i="1"/>
  <c r="O218" i="1"/>
  <c r="X218" i="1" s="1"/>
  <c r="O226" i="1"/>
  <c r="X226" i="1" s="1"/>
  <c r="O234" i="1"/>
  <c r="N212" i="1"/>
  <c r="W212" i="1" s="1"/>
  <c r="N220" i="1"/>
  <c r="N228" i="1"/>
  <c r="N236" i="1"/>
  <c r="W237" i="1" s="1"/>
  <c r="O212" i="1"/>
  <c r="O220" i="1"/>
  <c r="X220" i="1" s="1"/>
  <c r="O228" i="1"/>
  <c r="X228" i="1" s="1"/>
  <c r="O236" i="1"/>
  <c r="AH77" i="2" l="1"/>
  <c r="AH76" i="2"/>
  <c r="AH45" i="2"/>
  <c r="AH44" i="2"/>
  <c r="AH13" i="2"/>
  <c r="AH12" i="2"/>
  <c r="AH75" i="2"/>
  <c r="AH43" i="2"/>
  <c r="AH11" i="2"/>
  <c r="AH80" i="2"/>
  <c r="AH81" i="2"/>
  <c r="AH49" i="2"/>
  <c r="AH17" i="2"/>
  <c r="AH88" i="2"/>
  <c r="AH69" i="2"/>
  <c r="AH68" i="2"/>
  <c r="AH37" i="2"/>
  <c r="AH36" i="2"/>
  <c r="AH5" i="2"/>
  <c r="AH4" i="2"/>
  <c r="AH24" i="2"/>
  <c r="AH58" i="2"/>
  <c r="AH26" i="2"/>
  <c r="AH56" i="2"/>
  <c r="AH41" i="2"/>
  <c r="AH9" i="2"/>
  <c r="AH61" i="2"/>
  <c r="AH60" i="2"/>
  <c r="AH29" i="2"/>
  <c r="AH28" i="2"/>
  <c r="AH64" i="2"/>
  <c r="AH16" i="2"/>
  <c r="AH65" i="2"/>
  <c r="AH33" i="2"/>
  <c r="AH72" i="2"/>
  <c r="AH78" i="2"/>
  <c r="AH47" i="2"/>
  <c r="AH46" i="2"/>
  <c r="AH14" i="2"/>
  <c r="AH85" i="2"/>
  <c r="AH84" i="2"/>
  <c r="AH53" i="2"/>
  <c r="AH52" i="2"/>
  <c r="AH21" i="2"/>
  <c r="AH20" i="2"/>
  <c r="AH89" i="2"/>
  <c r="AH32" i="2"/>
  <c r="V50" i="2"/>
  <c r="V51" i="2"/>
  <c r="X144" i="1"/>
  <c r="Y93" i="1"/>
  <c r="X236" i="1"/>
  <c r="X234" i="1"/>
  <c r="W202" i="1"/>
  <c r="W192" i="1"/>
  <c r="W170" i="1"/>
  <c r="W124" i="1"/>
  <c r="X166" i="1"/>
  <c r="X201" i="1"/>
  <c r="W129" i="1"/>
  <c r="Z162" i="1"/>
  <c r="Y41" i="1"/>
  <c r="Y140" i="1"/>
  <c r="W172" i="1"/>
  <c r="W231" i="1"/>
  <c r="W185" i="1"/>
  <c r="W187" i="1"/>
  <c r="X186" i="1"/>
  <c r="W151" i="1"/>
  <c r="Y124" i="1"/>
  <c r="X174" i="1"/>
  <c r="X98" i="1"/>
  <c r="X120" i="1"/>
  <c r="W96" i="1"/>
  <c r="X140" i="1"/>
  <c r="Y112" i="1"/>
  <c r="X105" i="1"/>
  <c r="W104" i="1"/>
  <c r="W33" i="1"/>
  <c r="X20" i="1"/>
  <c r="Y153" i="1"/>
  <c r="Y223" i="1"/>
  <c r="W161" i="1"/>
  <c r="Y152" i="1"/>
  <c r="X55" i="1"/>
  <c r="W67" i="1"/>
  <c r="X191" i="1"/>
  <c r="Y55" i="1"/>
  <c r="Y131" i="1"/>
  <c r="W29" i="1"/>
  <c r="Y36" i="1"/>
  <c r="X179" i="1"/>
  <c r="W156" i="1"/>
  <c r="Y101" i="1"/>
  <c r="X142" i="1"/>
  <c r="X227" i="1"/>
  <c r="X188" i="1"/>
  <c r="Y212" i="1"/>
  <c r="Y187" i="1"/>
  <c r="W181" i="1"/>
  <c r="X147" i="1"/>
  <c r="X80" i="1"/>
  <c r="X60" i="1"/>
  <c r="W92" i="1"/>
  <c r="X90" i="1"/>
  <c r="W207" i="1"/>
  <c r="W215" i="1"/>
  <c r="X207" i="1"/>
  <c r="X141" i="1"/>
  <c r="Y215" i="1"/>
  <c r="Y209" i="1"/>
  <c r="X205" i="1"/>
  <c r="W140" i="1"/>
  <c r="Y166" i="1"/>
  <c r="X176" i="1"/>
  <c r="W116" i="1"/>
  <c r="W146" i="1"/>
  <c r="W60" i="1"/>
  <c r="Y201" i="1"/>
  <c r="Y8" i="1"/>
  <c r="W24" i="1"/>
  <c r="Y68" i="1"/>
  <c r="X57" i="1"/>
  <c r="Y173" i="1"/>
  <c r="W200" i="1"/>
  <c r="X72" i="1"/>
  <c r="Z215" i="1"/>
  <c r="Z191" i="1"/>
  <c r="Z154" i="1"/>
  <c r="Z231" i="1"/>
  <c r="Z134" i="1"/>
  <c r="Z198" i="1"/>
  <c r="Z163" i="1"/>
  <c r="Z118" i="1"/>
  <c r="Z72" i="1"/>
  <c r="Z63" i="1"/>
  <c r="Z15" i="1"/>
  <c r="Z39" i="1"/>
  <c r="Z20" i="1"/>
  <c r="Z13" i="1"/>
  <c r="Z236" i="1"/>
  <c r="Z96" i="1"/>
  <c r="Z53" i="1"/>
  <c r="Z66" i="1"/>
  <c r="Z114" i="1"/>
  <c r="Z115" i="1"/>
  <c r="Z145" i="1"/>
  <c r="Z74" i="1"/>
  <c r="Z141" i="1"/>
  <c r="Z171" i="1"/>
  <c r="Z173" i="1"/>
  <c r="Z217" i="1"/>
  <c r="Z193" i="1"/>
  <c r="Z44" i="1"/>
  <c r="Z85" i="1"/>
  <c r="Z33" i="1"/>
  <c r="Z22" i="1"/>
  <c r="Z71" i="1"/>
  <c r="Z76" i="1"/>
  <c r="Z153" i="1"/>
  <c r="Z200" i="1"/>
  <c r="Z156" i="1"/>
  <c r="Z148" i="1"/>
  <c r="Z188" i="1"/>
  <c r="Z226" i="1"/>
  <c r="Z234" i="1"/>
  <c r="Z21" i="1"/>
  <c r="Z18" i="1"/>
  <c r="Z80" i="1"/>
  <c r="Z97" i="1"/>
  <c r="Z25" i="1"/>
  <c r="Z138" i="1"/>
  <c r="Z124" i="1"/>
  <c r="Z207" i="1"/>
  <c r="Z187" i="1"/>
  <c r="Z182" i="1"/>
  <c r="Z212" i="1"/>
  <c r="Z206" i="1"/>
  <c r="Z28" i="1"/>
  <c r="Z175" i="1"/>
  <c r="Z68" i="1"/>
  <c r="Z35" i="1"/>
  <c r="Z58" i="1"/>
  <c r="Z10" i="1"/>
  <c r="Z65" i="1"/>
  <c r="Z128" i="1"/>
  <c r="Z83" i="1"/>
  <c r="Z172" i="1"/>
  <c r="Z196" i="1"/>
  <c r="Z184" i="1"/>
  <c r="Z209" i="1"/>
  <c r="Z213" i="1"/>
  <c r="Z218" i="1"/>
  <c r="Z50" i="1"/>
  <c r="Z132" i="1"/>
  <c r="Z46" i="1"/>
  <c r="Z101" i="1"/>
  <c r="Z30" i="1"/>
  <c r="Z185" i="1"/>
  <c r="Z199" i="1"/>
  <c r="Z205" i="1"/>
  <c r="Z197" i="1"/>
  <c r="Z214" i="1"/>
  <c r="Z159" i="1"/>
  <c r="Z93" i="1"/>
  <c r="Z142" i="1"/>
  <c r="Z17" i="1"/>
  <c r="Z82" i="1"/>
  <c r="Z121" i="1"/>
  <c r="Z99" i="1"/>
  <c r="Z90" i="1"/>
  <c r="Z120" i="1"/>
  <c r="Z225" i="1"/>
  <c r="Z178" i="1"/>
  <c r="Z161" i="1"/>
  <c r="Z222" i="1"/>
  <c r="Z194" i="1"/>
  <c r="Z60" i="1"/>
  <c r="Z67" i="1"/>
  <c r="Z61" i="1"/>
  <c r="Z29" i="1"/>
  <c r="Z34" i="1"/>
  <c r="Z57" i="1"/>
  <c r="Z107" i="1"/>
  <c r="Z126" i="1"/>
  <c r="Z98" i="1"/>
  <c r="Z125" i="1"/>
  <c r="Z233" i="1"/>
  <c r="Z211" i="1"/>
  <c r="Z12" i="1"/>
  <c r="Z133" i="1"/>
  <c r="Z237" i="1"/>
  <c r="X232" i="1"/>
  <c r="X233" i="1"/>
  <c r="X197" i="1"/>
  <c r="X177" i="1"/>
  <c r="X208" i="1"/>
  <c r="X209" i="1"/>
  <c r="Z106" i="1"/>
  <c r="X153" i="1"/>
  <c r="W97" i="1"/>
  <c r="Y176" i="1"/>
  <c r="Y177" i="1"/>
  <c r="W139" i="1"/>
  <c r="Z130" i="1"/>
  <c r="X116" i="1"/>
  <c r="X117" i="1"/>
  <c r="X121" i="1"/>
  <c r="X136" i="1"/>
  <c r="W22" i="1"/>
  <c r="Z59" i="1"/>
  <c r="Y18" i="1"/>
  <c r="Y73" i="1"/>
  <c r="Y74" i="1"/>
  <c r="Z11" i="1"/>
  <c r="W38" i="1"/>
  <c r="X18" i="1"/>
  <c r="Y60" i="1"/>
  <c r="Z232" i="1"/>
  <c r="X216" i="1"/>
  <c r="X217" i="1"/>
  <c r="Z195" i="1"/>
  <c r="X187" i="1"/>
  <c r="W152" i="1"/>
  <c r="W117" i="1"/>
  <c r="Z89" i="1"/>
  <c r="W137" i="1"/>
  <c r="Z32" i="1"/>
  <c r="Z77" i="1"/>
  <c r="X64" i="1"/>
  <c r="X65" i="1"/>
  <c r="Y139" i="1"/>
  <c r="W17" i="1"/>
  <c r="Z73" i="1"/>
  <c r="X10" i="1"/>
  <c r="X9" i="1"/>
  <c r="Y65" i="1"/>
  <c r="X37" i="1"/>
  <c r="Y13" i="1"/>
  <c r="Z203" i="1"/>
  <c r="X235" i="1"/>
  <c r="X192" i="1"/>
  <c r="X193" i="1"/>
  <c r="Y202" i="1"/>
  <c r="Z216" i="1"/>
  <c r="Y181" i="1"/>
  <c r="Y182" i="1"/>
  <c r="Z157" i="1"/>
  <c r="Z180" i="1"/>
  <c r="W189" i="1"/>
  <c r="W193" i="1"/>
  <c r="W159" i="1"/>
  <c r="X159" i="1"/>
  <c r="X124" i="1"/>
  <c r="W133" i="1"/>
  <c r="Z168" i="1"/>
  <c r="Y81" i="1"/>
  <c r="Y82" i="1"/>
  <c r="Z16" i="1"/>
  <c r="W77" i="1"/>
  <c r="Z64" i="1"/>
  <c r="X28" i="1"/>
  <c r="Y20" i="1"/>
  <c r="Y21" i="1"/>
  <c r="Y129" i="1"/>
  <c r="W13" i="1"/>
  <c r="Z151" i="1"/>
  <c r="X109" i="1"/>
  <c r="X110" i="1"/>
  <c r="Y99" i="1"/>
  <c r="Y100" i="1"/>
  <c r="X221" i="1"/>
  <c r="Y236" i="1"/>
  <c r="Y228" i="1"/>
  <c r="Z186" i="1"/>
  <c r="W154" i="1"/>
  <c r="X189" i="1"/>
  <c r="X190" i="1"/>
  <c r="Z189" i="1"/>
  <c r="Y115" i="1"/>
  <c r="Y116" i="1"/>
  <c r="W93" i="1"/>
  <c r="W94" i="1"/>
  <c r="X129" i="1"/>
  <c r="W53" i="1"/>
  <c r="X106" i="1"/>
  <c r="X107" i="1"/>
  <c r="W168" i="1"/>
  <c r="W79" i="1"/>
  <c r="Z104" i="1"/>
  <c r="W85" i="1"/>
  <c r="W30" i="1"/>
  <c r="X77" i="1"/>
  <c r="X29" i="1"/>
  <c r="Y28" i="1"/>
  <c r="Y29" i="1"/>
  <c r="Y125" i="1"/>
  <c r="W54" i="1"/>
  <c r="X13" i="1"/>
  <c r="X14" i="1"/>
  <c r="X32" i="1"/>
  <c r="X33" i="1"/>
  <c r="W236" i="1"/>
  <c r="X229" i="1"/>
  <c r="Z201" i="1"/>
  <c r="W217" i="1"/>
  <c r="X224" i="1"/>
  <c r="X225" i="1"/>
  <c r="Y190" i="1"/>
  <c r="Y160" i="1"/>
  <c r="W144" i="1"/>
  <c r="W145" i="1"/>
  <c r="Y110" i="1"/>
  <c r="Y197" i="1"/>
  <c r="W107" i="1"/>
  <c r="X52" i="1"/>
  <c r="X168" i="1"/>
  <c r="Z75" i="1"/>
  <c r="X85" i="1"/>
  <c r="X82" i="1"/>
  <c r="X125" i="1"/>
  <c r="Y77" i="1"/>
  <c r="W90" i="1"/>
  <c r="W123" i="1"/>
  <c r="X53" i="1"/>
  <c r="X40" i="1"/>
  <c r="X41" i="1"/>
  <c r="X25" i="1"/>
  <c r="Z19" i="1"/>
  <c r="Z56" i="1"/>
  <c r="X212" i="1"/>
  <c r="Y225" i="1"/>
  <c r="W233" i="1"/>
  <c r="X219" i="1"/>
  <c r="W209" i="1"/>
  <c r="W203" i="1"/>
  <c r="W167" i="1"/>
  <c r="W178" i="1"/>
  <c r="W182" i="1"/>
  <c r="W162" i="1"/>
  <c r="Z176" i="1"/>
  <c r="Z143" i="1"/>
  <c r="Z127" i="1"/>
  <c r="W99" i="1"/>
  <c r="W45" i="1"/>
  <c r="X148" i="1"/>
  <c r="Y168" i="1"/>
  <c r="Y169" i="1"/>
  <c r="W70" i="1"/>
  <c r="Y85" i="1"/>
  <c r="Y44" i="1"/>
  <c r="Y86" i="1"/>
  <c r="Y121" i="1"/>
  <c r="Y52" i="1"/>
  <c r="W62" i="1"/>
  <c r="X48" i="1"/>
  <c r="X49" i="1"/>
  <c r="Y9" i="1"/>
  <c r="W74" i="1"/>
  <c r="W87" i="1"/>
  <c r="X237" i="1"/>
  <c r="W228" i="1"/>
  <c r="Z224" i="1"/>
  <c r="W220" i="1"/>
  <c r="W196" i="1"/>
  <c r="Y233" i="1"/>
  <c r="W225" i="1"/>
  <c r="W213" i="1"/>
  <c r="W205" i="1"/>
  <c r="Y204" i="1"/>
  <c r="Y205" i="1"/>
  <c r="W186" i="1"/>
  <c r="X203" i="1"/>
  <c r="Z135" i="1"/>
  <c r="Y161" i="1"/>
  <c r="X94" i="1"/>
  <c r="X93" i="1"/>
  <c r="W141" i="1"/>
  <c r="Z100" i="1"/>
  <c r="W125" i="1"/>
  <c r="X99" i="1"/>
  <c r="X44" i="1"/>
  <c r="X69" i="1"/>
  <c r="W147" i="1"/>
  <c r="W105" i="1"/>
  <c r="X70" i="1"/>
  <c r="Z103" i="1"/>
  <c r="Z24" i="1"/>
  <c r="X21" i="1"/>
  <c r="W71" i="1"/>
  <c r="X61" i="1"/>
  <c r="Z48" i="1"/>
  <c r="X74" i="1"/>
  <c r="Y70" i="1"/>
  <c r="Y105" i="1"/>
  <c r="V91" i="2" l="1"/>
  <c r="Z223" i="1"/>
  <c r="Z228" i="1"/>
  <c r="Z37" i="1"/>
  <c r="Z221" i="1"/>
  <c r="Z169" i="1"/>
  <c r="Z92" i="1"/>
  <c r="Z41" i="1"/>
  <c r="Z165" i="1"/>
  <c r="Z91" i="1"/>
  <c r="Z149" i="1"/>
  <c r="Z78" i="1"/>
  <c r="Z235" i="1"/>
  <c r="Z152" i="1"/>
  <c r="Z26" i="1"/>
  <c r="Z174" i="1"/>
  <c r="Z116" i="1"/>
  <c r="Z202" i="1"/>
  <c r="Z190" i="1"/>
  <c r="Z43" i="1"/>
  <c r="Z47" i="1"/>
  <c r="Z147" i="1"/>
  <c r="Z179" i="1"/>
  <c r="Z9" i="1"/>
  <c r="Z208" i="1"/>
  <c r="Z105" i="1"/>
  <c r="Z164" i="1"/>
  <c r="Z54" i="1"/>
  <c r="Z144" i="1"/>
  <c r="Z117" i="1"/>
  <c r="Z27" i="1"/>
  <c r="Z219" i="1"/>
  <c r="Z109" i="1"/>
  <c r="Z110" i="1"/>
  <c r="Z155" i="1"/>
  <c r="Z70" i="1"/>
  <c r="Z227" i="1"/>
  <c r="Z79" i="1"/>
  <c r="Z137" i="1"/>
  <c r="Z220" i="1"/>
  <c r="Z81" i="1"/>
  <c r="Z160" i="1"/>
  <c r="Z139" i="1"/>
  <c r="Z166" i="1"/>
  <c r="Z23" i="1"/>
  <c r="Z102" i="1"/>
  <c r="Z204" i="1"/>
  <c r="Z40" i="1"/>
  <c r="Z158" i="1"/>
  <c r="Z84" i="1"/>
  <c r="Z146" i="1"/>
  <c r="Z167" i="1"/>
  <c r="Z129" i="1"/>
  <c r="Z88" i="1"/>
  <c r="Z131" i="1"/>
  <c r="Z113" i="1"/>
  <c r="Z42" i="1"/>
  <c r="Z229" i="1"/>
  <c r="Z86" i="1"/>
  <c r="Z52" i="1"/>
  <c r="Z177" i="1"/>
  <c r="Z95" i="1"/>
  <c r="Z210" i="1"/>
  <c r="Z94" i="1"/>
  <c r="Z112" i="1"/>
  <c r="Z140" i="1"/>
  <c r="Z136" i="1"/>
  <c r="Z62" i="1"/>
  <c r="Z192" i="1"/>
  <c r="Z14" i="1"/>
  <c r="Z31" i="1"/>
  <c r="Z108" i="1"/>
  <c r="Z183" i="1"/>
  <c r="Z87" i="1"/>
  <c r="Z49" i="1"/>
  <c r="Z150" i="1"/>
  <c r="Z45" i="1"/>
  <c r="Z36" i="1"/>
  <c r="Z230" i="1"/>
  <c r="Z123" i="1"/>
  <c r="Z38" i="1"/>
  <c r="Z181" i="1"/>
  <c r="Z119" i="1"/>
  <c r="Z55" i="1"/>
  <c r="Z122" i="1"/>
  <c r="Z69" i="1"/>
  <c r="Z51" i="1"/>
  <c r="Z111" i="1"/>
  <c r="Z170" i="1"/>
  <c r="AF23" i="2" l="1"/>
  <c r="AF17" i="2"/>
  <c r="AF49" i="2"/>
  <c r="AF42" i="2"/>
  <c r="AF15" i="2"/>
  <c r="AF19" i="2"/>
  <c r="AF34" i="2"/>
  <c r="AF70" i="2"/>
  <c r="AF61" i="2"/>
  <c r="AF57" i="2"/>
  <c r="AF27" i="2"/>
  <c r="AF77" i="2"/>
  <c r="AF33" i="2"/>
  <c r="AF47" i="2"/>
  <c r="AF85" i="2"/>
  <c r="AF89" i="2"/>
  <c r="AF58" i="2"/>
  <c r="AF9" i="2"/>
  <c r="AF35" i="2"/>
  <c r="AF73" i="2"/>
  <c r="AF11" i="2"/>
  <c r="AF44" i="2"/>
  <c r="AF54" i="2"/>
  <c r="AF66" i="2"/>
  <c r="AF69" i="2"/>
  <c r="AF74" i="2"/>
  <c r="AF41" i="2"/>
  <c r="AF43" i="2"/>
  <c r="AF20" i="2"/>
  <c r="AF26" i="2"/>
  <c r="AF82" i="2"/>
  <c r="AF81" i="2"/>
  <c r="AF59" i="2"/>
  <c r="AF28" i="2"/>
  <c r="AF83" i="2"/>
  <c r="AF45" i="2"/>
  <c r="AF39" i="2"/>
  <c r="AF10" i="2"/>
  <c r="AF12" i="2"/>
  <c r="AF67" i="2"/>
  <c r="AF25" i="2"/>
  <c r="AF60" i="2"/>
  <c r="AF21" i="2"/>
  <c r="AF78" i="2"/>
  <c r="AF31" i="2"/>
  <c r="AF7" i="2"/>
  <c r="AF18" i="2"/>
  <c r="AF76" i="2"/>
  <c r="AF68" i="2"/>
  <c r="AF75" i="2"/>
  <c r="AF52" i="2"/>
  <c r="AF65" i="2"/>
  <c r="AF84" i="2"/>
  <c r="AF29" i="2"/>
  <c r="AF86" i="2"/>
  <c r="AF37" i="2"/>
  <c r="AF53" i="2"/>
  <c r="AF56" i="2"/>
  <c r="AF46" i="2"/>
  <c r="AF63" i="2"/>
  <c r="AF16" i="2"/>
  <c r="AF55" i="2"/>
  <c r="AF32" i="2"/>
  <c r="AF64" i="2"/>
  <c r="AF13" i="2"/>
  <c r="AF62" i="2"/>
  <c r="AF6" i="2"/>
  <c r="AF8" i="2"/>
  <c r="AF72" i="2"/>
  <c r="AF71" i="2"/>
  <c r="AF36" i="2"/>
  <c r="AF5" i="2"/>
  <c r="AF87" i="2"/>
  <c r="AF38" i="2"/>
  <c r="AF14" i="2"/>
  <c r="AF40" i="2"/>
  <c r="AF80" i="2"/>
  <c r="AF79" i="2"/>
  <c r="AF48" i="2"/>
  <c r="AF22" i="2"/>
  <c r="AF4" i="2"/>
  <c r="AF88" i="2"/>
  <c r="AF30" i="2"/>
  <c r="AF24" i="2"/>
  <c r="AF50" i="2"/>
  <c r="AF5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Guzzi</author>
  </authors>
  <commentList>
    <comment ref="H2" authorId="0" shapeId="0" xr:uid="{613D32B2-F5EF-46E1-A0B3-A4D6A69657FC}">
      <text>
        <r>
          <rPr>
            <b/>
            <sz val="9"/>
            <color indexed="81"/>
            <rFont val="Tahoma"/>
            <charset val="1"/>
          </rPr>
          <t>David Guzzi:</t>
        </r>
        <r>
          <rPr>
            <sz val="9"/>
            <color indexed="81"/>
            <rFont val="Tahoma"/>
            <charset val="1"/>
          </rPr>
          <t xml:space="preserve">
Se parte de la población total anual y se la convierte en una serie trimestral mediante interpolación lineal entre años consecutivos.</t>
        </r>
      </text>
    </comment>
    <comment ref="J2" authorId="0" shapeId="0" xr:uid="{C945D71E-8782-4C4B-9A02-D5A1498D2125}">
      <text>
        <r>
          <rPr>
            <b/>
            <sz val="9"/>
            <color indexed="81"/>
            <rFont val="Tahoma"/>
            <charset val="1"/>
          </rPr>
          <t>David Guzzi:</t>
        </r>
        <r>
          <rPr>
            <sz val="9"/>
            <color indexed="81"/>
            <rFont val="Tahoma"/>
            <charset val="1"/>
          </rPr>
          <t xml:space="preserve">
Desde 200401 a 201809 es LEBAC; desde 201810 a 202312 es LELIQ; desde 202401 a 202406 es Pases Pasivos; de allí es LEFI. Todas las tasas fueron expresadas en TNA a 30 días; luego promedioss aritméticos. </t>
        </r>
      </text>
    </comment>
    <comment ref="K2" authorId="0" shapeId="0" xr:uid="{539EE1A6-5444-4CEF-9186-5B351F7836F2}">
      <text>
        <r>
          <rPr>
            <b/>
            <sz val="9"/>
            <color indexed="81"/>
            <rFont val="Tahoma"/>
            <charset val="1"/>
          </rPr>
          <t>David Guzzi:</t>
        </r>
        <r>
          <rPr>
            <sz val="9"/>
            <color indexed="81"/>
            <rFont val="Tahoma"/>
            <charset val="1"/>
          </rPr>
          <t xml:space="preserve">
Se empalmaron las distintas series del índice salarial (cambios de base y anexos metodológicos) utilizando un coeficiente de enlace en el período de superposición, para construir una única serie homogénea.</t>
        </r>
      </text>
    </comment>
    <comment ref="O2" authorId="0" shapeId="0" xr:uid="{224D1671-DAD4-4B3C-B764-58ED47583FDF}">
      <text>
        <r>
          <rPr>
            <b/>
            <sz val="9"/>
            <color indexed="81"/>
            <rFont val="Tahoma"/>
            <charset val="1"/>
          </rPr>
          <t>David Guzzi:</t>
        </r>
        <r>
          <rPr>
            <sz val="9"/>
            <color indexed="81"/>
            <rFont val="Tahoma"/>
            <charset val="1"/>
          </rPr>
          <t xml:space="preserve">
Se construyeron las horas a partir de la EPH filtrando por condición ACTIVO = ocupado, usando PONDERA como factor de expansión y calculando promedios ponderados tanto de PP3E_TOT (horas habituales) como de PP3F_TOT (horas efectivas).</t>
        </r>
      </text>
    </comment>
    <comment ref="O3" authorId="0" shapeId="0" xr:uid="{74BB9A01-329F-408F-939D-3F528E518299}">
      <text>
        <r>
          <rPr>
            <b/>
            <sz val="9"/>
            <color indexed="81"/>
            <rFont val="Tahoma"/>
            <family val="2"/>
          </rPr>
          <t>David Guzzi:</t>
        </r>
        <r>
          <rPr>
            <sz val="9"/>
            <color indexed="81"/>
            <rFont val="Tahoma"/>
            <family val="2"/>
          </rPr>
          <t xml:space="preserve">
Se genera mediante fórmula:
=INDICE($O$100:$O$133;1+ENTERO(ALEATORIO()*$P$100))
</t>
        </r>
      </text>
    </comment>
  </commentList>
</comments>
</file>

<file path=xl/sharedStrings.xml><?xml version="1.0" encoding="utf-8"?>
<sst xmlns="http://schemas.openxmlformats.org/spreadsheetml/2006/main" count="212" uniqueCount="158">
  <si>
    <t>Original data</t>
  </si>
  <si>
    <t>Transformed data</t>
  </si>
  <si>
    <t>Observed data used in the measurement equations</t>
  </si>
  <si>
    <t>GDPC96</t>
  </si>
  <si>
    <t>GDPDEF</t>
  </si>
  <si>
    <t>PCEC</t>
  </si>
  <si>
    <t>FPI</t>
  </si>
  <si>
    <t>CE16OV</t>
  </si>
  <si>
    <t>index</t>
  </si>
  <si>
    <t>FEDFUNDS</t>
  </si>
  <si>
    <t>LNS10000000</t>
  </si>
  <si>
    <t>PRS85006023</t>
  </si>
  <si>
    <t>PRS85006103</t>
  </si>
  <si>
    <t>consumption</t>
  </si>
  <si>
    <t>investment</t>
  </si>
  <si>
    <t>output</t>
  </si>
  <si>
    <t>hours</t>
  </si>
  <si>
    <t>inflation</t>
  </si>
  <si>
    <t>real wage</t>
  </si>
  <si>
    <t>interest rate</t>
  </si>
  <si>
    <t>counter</t>
  </si>
  <si>
    <t>dc</t>
  </si>
  <si>
    <t xml:space="preserve">dinve </t>
  </si>
  <si>
    <t xml:space="preserve">dy </t>
  </si>
  <si>
    <t>labobs</t>
  </si>
  <si>
    <t>pinfobs</t>
  </si>
  <si>
    <t>dw</t>
  </si>
  <si>
    <t>robs</t>
  </si>
  <si>
    <t>PIB real (EEUU)</t>
  </si>
  <si>
    <t>deflactor del PIB</t>
  </si>
  <si>
    <t>consumo (serie real)</t>
  </si>
  <si>
    <t>inversión (serie real)</t>
  </si>
  <si>
    <t>empleo (civilian employment)</t>
  </si>
  <si>
    <t>tasa Fed Funds (anual, %)</t>
  </si>
  <si>
    <t>población (civilian noninstitutional population)</t>
  </si>
  <si>
    <t>“average weekly hours” (sector nonfarm business, índice)</t>
  </si>
  <si>
    <t>compensación/hora (o serie salarial) (sector nonfarm business, índice)</t>
  </si>
  <si>
    <t>población indexada a 1992Q3 (=1)</t>
  </si>
  <si>
    <t>CE16OV indexado a 1992Q3 (=100)</t>
  </si>
  <si>
    <t>(crec. consumo)</t>
  </si>
  <si>
    <t>(crec. inversión)</t>
  </si>
  <si>
    <t>(crec. producto)</t>
  </si>
  <si>
    <t>(inflación)</t>
  </si>
  <si>
    <t>(crec. salario real)</t>
  </si>
  <si>
    <t>(tasa nominal)</t>
  </si>
  <si>
    <r>
      <t xml:space="preserve">(horas en “nivel” pero </t>
    </r>
    <r>
      <rPr>
        <b/>
        <i/>
        <sz val="10"/>
        <rFont val="Arial"/>
        <family val="2"/>
      </rPr>
      <t>demeaned</t>
    </r>
    <r>
      <rPr>
        <b/>
        <sz val="10"/>
        <rFont val="Arial"/>
        <family val="2"/>
      </rPr>
      <t>)</t>
    </r>
  </si>
  <si>
    <t>trimestre</t>
  </si>
  <si>
    <t>2004.1</t>
  </si>
  <si>
    <t>2005.4</t>
  </si>
  <si>
    <t>2007.4</t>
  </si>
  <si>
    <t>2008.4</t>
  </si>
  <si>
    <t>2009.1</t>
  </si>
  <si>
    <t>2012.1</t>
  </si>
  <si>
    <t>2014.2</t>
  </si>
  <si>
    <t>2004.2</t>
  </si>
  <si>
    <t>2004.3</t>
  </si>
  <si>
    <t>2005.3</t>
  </si>
  <si>
    <t>2006.3</t>
  </si>
  <si>
    <t>2007.3</t>
  </si>
  <si>
    <t>2009.4</t>
  </si>
  <si>
    <t>2010.4</t>
  </si>
  <si>
    <t>2011.4</t>
  </si>
  <si>
    <t>2012.4</t>
  </si>
  <si>
    <t>2004.4</t>
  </si>
  <si>
    <t>2006.4</t>
  </si>
  <si>
    <t>2013.4</t>
  </si>
  <si>
    <t>2014.4</t>
  </si>
  <si>
    <t>2005.1</t>
  </si>
  <si>
    <t>2006.1</t>
  </si>
  <si>
    <t>2007.1</t>
  </si>
  <si>
    <t>2008.1</t>
  </si>
  <si>
    <t>2010.1</t>
  </si>
  <si>
    <t>2011.1</t>
  </si>
  <si>
    <t>2013.1</t>
  </si>
  <si>
    <t>2014.1</t>
  </si>
  <si>
    <t>2005.2</t>
  </si>
  <si>
    <t>2006.2</t>
  </si>
  <si>
    <t>2007.2</t>
  </si>
  <si>
    <t>2008.2</t>
  </si>
  <si>
    <t>2008.3</t>
  </si>
  <si>
    <t>2009.2</t>
  </si>
  <si>
    <t>2009.3</t>
  </si>
  <si>
    <t>2010.2</t>
  </si>
  <si>
    <t>2010.3</t>
  </si>
  <si>
    <t>2011.2</t>
  </si>
  <si>
    <t>2011.3</t>
  </si>
  <si>
    <t>2012.2</t>
  </si>
  <si>
    <t>2012.3</t>
  </si>
  <si>
    <t>2013.2</t>
  </si>
  <si>
    <t>2013.3</t>
  </si>
  <si>
    <t>2014.3</t>
  </si>
  <si>
    <t>2015.1</t>
  </si>
  <si>
    <t>2015.2</t>
  </si>
  <si>
    <t>2015.3</t>
  </si>
  <si>
    <t>2015.4</t>
  </si>
  <si>
    <t>2016.1</t>
  </si>
  <si>
    <t>2016.2</t>
  </si>
  <si>
    <t>2016.3</t>
  </si>
  <si>
    <t>2016.4</t>
  </si>
  <si>
    <t>2017.1</t>
  </si>
  <si>
    <t>2017.2</t>
  </si>
  <si>
    <t>2017.3</t>
  </si>
  <si>
    <t>2017.4</t>
  </si>
  <si>
    <t>2018.1</t>
  </si>
  <si>
    <t>2018.2</t>
  </si>
  <si>
    <t>2018.3</t>
  </si>
  <si>
    <t>2018.4</t>
  </si>
  <si>
    <t>2019.1</t>
  </si>
  <si>
    <t>2019.2</t>
  </si>
  <si>
    <t>2019.3</t>
  </si>
  <si>
    <t>2019.4</t>
  </si>
  <si>
    <t>2020.1</t>
  </si>
  <si>
    <t>2020.2</t>
  </si>
  <si>
    <t>2020.3</t>
  </si>
  <si>
    <t>2020.4</t>
  </si>
  <si>
    <t>2021.1</t>
  </si>
  <si>
    <t>2021.2</t>
  </si>
  <si>
    <t>2021.3</t>
  </si>
  <si>
    <t>2021.4</t>
  </si>
  <si>
    <t>2022.1</t>
  </si>
  <si>
    <t>2022.2</t>
  </si>
  <si>
    <t>2022.3</t>
  </si>
  <si>
    <t>2022.4</t>
  </si>
  <si>
    <t>2023.1</t>
  </si>
  <si>
    <t>2023.2</t>
  </si>
  <si>
    <t>2023.3</t>
  </si>
  <si>
    <t>2023.4</t>
  </si>
  <si>
    <t>2024.1</t>
  </si>
  <si>
    <t>2024.2</t>
  </si>
  <si>
    <t>2024.3</t>
  </si>
  <si>
    <t>2024.4</t>
  </si>
  <si>
    <t>2025.1</t>
  </si>
  <si>
    <t>2025.2</t>
  </si>
  <si>
    <t>2025.3</t>
  </si>
  <si>
    <t>deflactor</t>
  </si>
  <si>
    <t>población</t>
  </si>
  <si>
    <t>pbi nominal ($ millones) base 2004</t>
  </si>
  <si>
    <t>índice de salarios nominal prom trimestral base 2004</t>
  </si>
  <si>
    <t>índice de salarios real prom trimestral base 2004</t>
  </si>
  <si>
    <t>Población ocupada (en miles)</t>
  </si>
  <si>
    <t>horas semanales promedio</t>
  </si>
  <si>
    <t>tasa de política monetaria (% TNA 30d)</t>
  </si>
  <si>
    <t>población total indexada</t>
  </si>
  <si>
    <t>población ocupada indexada</t>
  </si>
  <si>
    <t>horas semanales promedio index</t>
  </si>
  <si>
    <t>Horas sin 2020</t>
  </si>
  <si>
    <t>fuente</t>
  </si>
  <si>
    <t>https://www.indec.gob.ar/ftp/cuadros/economia/sh_oferta_demanda_desest_12_25.xls</t>
  </si>
  <si>
    <t>pbi real ($ millones) base 2004 deses</t>
  </si>
  <si>
    <t>consumo privado real ($ millones) base 2004 deses</t>
  </si>
  <si>
    <t>inversión real ($ millones) base 2004 deses</t>
  </si>
  <si>
    <t>https://www.indec.gob.ar/ftp/cuadros/economia/sh_oferta_demanda_12_25.xls</t>
  </si>
  <si>
    <t>N/A</t>
  </si>
  <si>
    <t>https://datos.bancomundial.org/indicador/SP.POP.TOTL?locations=AR</t>
  </si>
  <si>
    <t>https://www.bcra.gob.ar/operaciones-pases-subastas-letras/</t>
  </si>
  <si>
    <t>https://www.indec.gob.ar/indec/web/Nivel4-Tema-4-31-61</t>
  </si>
  <si>
    <t>https://www.argentina.gob.ar/trabajo/estadisticas/mercado-de-trabajo-0</t>
  </si>
  <si>
    <t>https://www.indec.gob.ar/indec/web/Institucional-Indec-BasesDeDatos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</si>
</sst>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3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1" fillId="0" borderId="0"/>
    <xf numFmtId="9" fontId="7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0" fillId="0" borderId="0" xfId="1" applyFont="1"/>
    <xf numFmtId="43" fontId="0" fillId="2" borderId="0" xfId="1" applyFont="1" applyFill="1"/>
    <xf numFmtId="43" fontId="0" fillId="0" borderId="0" xfId="0" applyNumberFormat="1"/>
    <xf numFmtId="2" fontId="0" fillId="0" borderId="0" xfId="4" applyNumberFormat="1" applyFont="1" applyAlignment="1">
      <alignment horizontal="center" vertical="center"/>
    </xf>
    <xf numFmtId="43" fontId="3" fillId="0" borderId="0" xfId="1" applyFont="1" applyAlignment="1">
      <alignment horizontal="center" vertical="center" wrapText="1"/>
    </xf>
    <xf numFmtId="43" fontId="0" fillId="0" borderId="0" xfId="1" applyFont="1" applyAlignment="1">
      <alignment horizontal="right"/>
    </xf>
    <xf numFmtId="0" fontId="10" fillId="0" borderId="0" xfId="5"/>
    <xf numFmtId="0" fontId="10" fillId="0" borderId="0" xfId="5" applyAlignment="1">
      <alignment horizontal="center"/>
    </xf>
    <xf numFmtId="0" fontId="0" fillId="0" borderId="0" xfId="0" applyAlignment="1">
      <alignment horizontal="center"/>
    </xf>
  </cellXfs>
  <cellStyles count="6">
    <cellStyle name="Hipervínculo" xfId="5" builtinId="8"/>
    <cellStyle name="Millares" xfId="1" builtinId="3"/>
    <cellStyle name="Normal" xfId="0" builtinId="0"/>
    <cellStyle name="Normal 2" xfId="2" xr:uid="{FD3471AA-5A90-4348-8330-26C4A7CEB9BF}"/>
    <cellStyle name="Normal 3" xfId="3" xr:uid="{B533BD85-97E7-403F-9809-0A6127AB576A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datos.bancomundial.org/indicador/SP.POP.TOTL?locations=AR" TargetMode="External"/><Relationship Id="rId7" Type="http://schemas.openxmlformats.org/officeDocument/2006/relationships/hyperlink" Target="https://www.indec.gob.ar/indec/web/Institucional-Indec-BasesDeDatos" TargetMode="External"/><Relationship Id="rId2" Type="http://schemas.openxmlformats.org/officeDocument/2006/relationships/hyperlink" Target="https://www.indec.gob.ar/ftp/cuadros/economia/sh_oferta_demanda_12_25.xls" TargetMode="External"/><Relationship Id="rId1" Type="http://schemas.openxmlformats.org/officeDocument/2006/relationships/hyperlink" Target="https://www.indec.gob.ar/ftp/cuadros/economia/sh_oferta_demanda_desest_12_25.xls" TargetMode="External"/><Relationship Id="rId6" Type="http://schemas.openxmlformats.org/officeDocument/2006/relationships/hyperlink" Target="https://www.argentina.gob.ar/trabajo/estadisticas/mercado-de-trabajo-0" TargetMode="External"/><Relationship Id="rId5" Type="http://schemas.openxmlformats.org/officeDocument/2006/relationships/hyperlink" Target="https://www.indec.gob.ar/indec/web/Nivel4-Tema-4-31-61" TargetMode="External"/><Relationship Id="rId4" Type="http://schemas.openxmlformats.org/officeDocument/2006/relationships/hyperlink" Target="https://www.bcra.gob.ar/operaciones-pases-subastas-letras/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0B2D-0838-440F-867B-BE67E484F62F}">
  <dimension ref="A1:AC243"/>
  <sheetViews>
    <sheetView topLeftCell="G204" workbookViewId="0">
      <selection activeCell="W8" sqref="W8:AC237"/>
    </sheetView>
  </sheetViews>
  <sheetFormatPr baseColWidth="10" defaultRowHeight="12.75" x14ac:dyDescent="0.2"/>
  <cols>
    <col min="1" max="1" width="9.140625" customWidth="1"/>
    <col min="2" max="12" width="12.7109375" customWidth="1"/>
    <col min="13" max="13" width="15.140625" customWidth="1"/>
    <col min="14" max="20" width="11.7109375" customWidth="1"/>
    <col min="21" max="21" width="9.140625" customWidth="1"/>
    <col min="22" max="28" width="10.28515625" customWidth="1"/>
    <col min="29" max="29" width="10.28515625" style="6" customWidth="1"/>
    <col min="30" max="257" width="9.140625" customWidth="1"/>
    <col min="258" max="268" width="12.7109375" customWidth="1"/>
    <col min="269" max="269" width="15.140625" customWidth="1"/>
    <col min="270" max="276" width="11.7109375" customWidth="1"/>
    <col min="277" max="278" width="9.140625" customWidth="1"/>
    <col min="279" max="284" width="9.5703125" bestFit="1" customWidth="1"/>
    <col min="285" max="285" width="9.28515625" bestFit="1" customWidth="1"/>
    <col min="286" max="513" width="9.140625" customWidth="1"/>
    <col min="514" max="524" width="12.7109375" customWidth="1"/>
    <col min="525" max="525" width="15.140625" customWidth="1"/>
    <col min="526" max="532" width="11.7109375" customWidth="1"/>
    <col min="533" max="534" width="9.140625" customWidth="1"/>
    <col min="535" max="540" width="9.5703125" bestFit="1" customWidth="1"/>
    <col min="541" max="541" width="9.28515625" bestFit="1" customWidth="1"/>
    <col min="542" max="769" width="9.140625" customWidth="1"/>
    <col min="770" max="780" width="12.7109375" customWidth="1"/>
    <col min="781" max="781" width="15.140625" customWidth="1"/>
    <col min="782" max="788" width="11.7109375" customWidth="1"/>
    <col min="789" max="790" width="9.140625" customWidth="1"/>
    <col min="791" max="796" width="9.5703125" bestFit="1" customWidth="1"/>
    <col min="797" max="797" width="9.28515625" bestFit="1" customWidth="1"/>
    <col min="798" max="1025" width="9.140625" customWidth="1"/>
    <col min="1026" max="1036" width="12.7109375" customWidth="1"/>
    <col min="1037" max="1037" width="15.140625" customWidth="1"/>
    <col min="1038" max="1044" width="11.7109375" customWidth="1"/>
    <col min="1045" max="1046" width="9.140625" customWidth="1"/>
    <col min="1047" max="1052" width="9.5703125" bestFit="1" customWidth="1"/>
    <col min="1053" max="1053" width="9.28515625" bestFit="1" customWidth="1"/>
    <col min="1054" max="1281" width="9.140625" customWidth="1"/>
    <col min="1282" max="1292" width="12.7109375" customWidth="1"/>
    <col min="1293" max="1293" width="15.140625" customWidth="1"/>
    <col min="1294" max="1300" width="11.7109375" customWidth="1"/>
    <col min="1301" max="1302" width="9.140625" customWidth="1"/>
    <col min="1303" max="1308" width="9.5703125" bestFit="1" customWidth="1"/>
    <col min="1309" max="1309" width="9.28515625" bestFit="1" customWidth="1"/>
    <col min="1310" max="1537" width="9.140625" customWidth="1"/>
    <col min="1538" max="1548" width="12.7109375" customWidth="1"/>
    <col min="1549" max="1549" width="15.140625" customWidth="1"/>
    <col min="1550" max="1556" width="11.7109375" customWidth="1"/>
    <col min="1557" max="1558" width="9.140625" customWidth="1"/>
    <col min="1559" max="1564" width="9.5703125" bestFit="1" customWidth="1"/>
    <col min="1565" max="1565" width="9.28515625" bestFit="1" customWidth="1"/>
    <col min="1566" max="1793" width="9.140625" customWidth="1"/>
    <col min="1794" max="1804" width="12.7109375" customWidth="1"/>
    <col min="1805" max="1805" width="15.140625" customWidth="1"/>
    <col min="1806" max="1812" width="11.7109375" customWidth="1"/>
    <col min="1813" max="1814" width="9.140625" customWidth="1"/>
    <col min="1815" max="1820" width="9.5703125" bestFit="1" customWidth="1"/>
    <col min="1821" max="1821" width="9.28515625" bestFit="1" customWidth="1"/>
    <col min="1822" max="2049" width="9.140625" customWidth="1"/>
    <col min="2050" max="2060" width="12.7109375" customWidth="1"/>
    <col min="2061" max="2061" width="15.140625" customWidth="1"/>
    <col min="2062" max="2068" width="11.7109375" customWidth="1"/>
    <col min="2069" max="2070" width="9.140625" customWidth="1"/>
    <col min="2071" max="2076" width="9.5703125" bestFit="1" customWidth="1"/>
    <col min="2077" max="2077" width="9.28515625" bestFit="1" customWidth="1"/>
    <col min="2078" max="2305" width="9.140625" customWidth="1"/>
    <col min="2306" max="2316" width="12.7109375" customWidth="1"/>
    <col min="2317" max="2317" width="15.140625" customWidth="1"/>
    <col min="2318" max="2324" width="11.7109375" customWidth="1"/>
    <col min="2325" max="2326" width="9.140625" customWidth="1"/>
    <col min="2327" max="2332" width="9.5703125" bestFit="1" customWidth="1"/>
    <col min="2333" max="2333" width="9.28515625" bestFit="1" customWidth="1"/>
    <col min="2334" max="2561" width="9.140625" customWidth="1"/>
    <col min="2562" max="2572" width="12.7109375" customWidth="1"/>
    <col min="2573" max="2573" width="15.140625" customWidth="1"/>
    <col min="2574" max="2580" width="11.7109375" customWidth="1"/>
    <col min="2581" max="2582" width="9.140625" customWidth="1"/>
    <col min="2583" max="2588" width="9.5703125" bestFit="1" customWidth="1"/>
    <col min="2589" max="2589" width="9.28515625" bestFit="1" customWidth="1"/>
    <col min="2590" max="2817" width="9.140625" customWidth="1"/>
    <col min="2818" max="2828" width="12.7109375" customWidth="1"/>
    <col min="2829" max="2829" width="15.140625" customWidth="1"/>
    <col min="2830" max="2836" width="11.7109375" customWidth="1"/>
    <col min="2837" max="2838" width="9.140625" customWidth="1"/>
    <col min="2839" max="2844" width="9.5703125" bestFit="1" customWidth="1"/>
    <col min="2845" max="2845" width="9.28515625" bestFit="1" customWidth="1"/>
    <col min="2846" max="3073" width="9.140625" customWidth="1"/>
    <col min="3074" max="3084" width="12.7109375" customWidth="1"/>
    <col min="3085" max="3085" width="15.140625" customWidth="1"/>
    <col min="3086" max="3092" width="11.7109375" customWidth="1"/>
    <col min="3093" max="3094" width="9.140625" customWidth="1"/>
    <col min="3095" max="3100" width="9.5703125" bestFit="1" customWidth="1"/>
    <col min="3101" max="3101" width="9.28515625" bestFit="1" customWidth="1"/>
    <col min="3102" max="3329" width="9.140625" customWidth="1"/>
    <col min="3330" max="3340" width="12.7109375" customWidth="1"/>
    <col min="3341" max="3341" width="15.140625" customWidth="1"/>
    <col min="3342" max="3348" width="11.7109375" customWidth="1"/>
    <col min="3349" max="3350" width="9.140625" customWidth="1"/>
    <col min="3351" max="3356" width="9.5703125" bestFit="1" customWidth="1"/>
    <col min="3357" max="3357" width="9.28515625" bestFit="1" customWidth="1"/>
    <col min="3358" max="3585" width="9.140625" customWidth="1"/>
    <col min="3586" max="3596" width="12.7109375" customWidth="1"/>
    <col min="3597" max="3597" width="15.140625" customWidth="1"/>
    <col min="3598" max="3604" width="11.7109375" customWidth="1"/>
    <col min="3605" max="3606" width="9.140625" customWidth="1"/>
    <col min="3607" max="3612" width="9.5703125" bestFit="1" customWidth="1"/>
    <col min="3613" max="3613" width="9.28515625" bestFit="1" customWidth="1"/>
    <col min="3614" max="3841" width="9.140625" customWidth="1"/>
    <col min="3842" max="3852" width="12.7109375" customWidth="1"/>
    <col min="3853" max="3853" width="15.140625" customWidth="1"/>
    <col min="3854" max="3860" width="11.7109375" customWidth="1"/>
    <col min="3861" max="3862" width="9.140625" customWidth="1"/>
    <col min="3863" max="3868" width="9.5703125" bestFit="1" customWidth="1"/>
    <col min="3869" max="3869" width="9.28515625" bestFit="1" customWidth="1"/>
    <col min="3870" max="4097" width="9.140625" customWidth="1"/>
    <col min="4098" max="4108" width="12.7109375" customWidth="1"/>
    <col min="4109" max="4109" width="15.140625" customWidth="1"/>
    <col min="4110" max="4116" width="11.7109375" customWidth="1"/>
    <col min="4117" max="4118" width="9.140625" customWidth="1"/>
    <col min="4119" max="4124" width="9.5703125" bestFit="1" customWidth="1"/>
    <col min="4125" max="4125" width="9.28515625" bestFit="1" customWidth="1"/>
    <col min="4126" max="4353" width="9.140625" customWidth="1"/>
    <col min="4354" max="4364" width="12.7109375" customWidth="1"/>
    <col min="4365" max="4365" width="15.140625" customWidth="1"/>
    <col min="4366" max="4372" width="11.7109375" customWidth="1"/>
    <col min="4373" max="4374" width="9.140625" customWidth="1"/>
    <col min="4375" max="4380" width="9.5703125" bestFit="1" customWidth="1"/>
    <col min="4381" max="4381" width="9.28515625" bestFit="1" customWidth="1"/>
    <col min="4382" max="4609" width="9.140625" customWidth="1"/>
    <col min="4610" max="4620" width="12.7109375" customWidth="1"/>
    <col min="4621" max="4621" width="15.140625" customWidth="1"/>
    <col min="4622" max="4628" width="11.7109375" customWidth="1"/>
    <col min="4629" max="4630" width="9.140625" customWidth="1"/>
    <col min="4631" max="4636" width="9.5703125" bestFit="1" customWidth="1"/>
    <col min="4637" max="4637" width="9.28515625" bestFit="1" customWidth="1"/>
    <col min="4638" max="4865" width="9.140625" customWidth="1"/>
    <col min="4866" max="4876" width="12.7109375" customWidth="1"/>
    <col min="4877" max="4877" width="15.140625" customWidth="1"/>
    <col min="4878" max="4884" width="11.7109375" customWidth="1"/>
    <col min="4885" max="4886" width="9.140625" customWidth="1"/>
    <col min="4887" max="4892" width="9.5703125" bestFit="1" customWidth="1"/>
    <col min="4893" max="4893" width="9.28515625" bestFit="1" customWidth="1"/>
    <col min="4894" max="5121" width="9.140625" customWidth="1"/>
    <col min="5122" max="5132" width="12.7109375" customWidth="1"/>
    <col min="5133" max="5133" width="15.140625" customWidth="1"/>
    <col min="5134" max="5140" width="11.7109375" customWidth="1"/>
    <col min="5141" max="5142" width="9.140625" customWidth="1"/>
    <col min="5143" max="5148" width="9.5703125" bestFit="1" customWidth="1"/>
    <col min="5149" max="5149" width="9.28515625" bestFit="1" customWidth="1"/>
    <col min="5150" max="5377" width="9.140625" customWidth="1"/>
    <col min="5378" max="5388" width="12.7109375" customWidth="1"/>
    <col min="5389" max="5389" width="15.140625" customWidth="1"/>
    <col min="5390" max="5396" width="11.7109375" customWidth="1"/>
    <col min="5397" max="5398" width="9.140625" customWidth="1"/>
    <col min="5399" max="5404" width="9.5703125" bestFit="1" customWidth="1"/>
    <col min="5405" max="5405" width="9.28515625" bestFit="1" customWidth="1"/>
    <col min="5406" max="5633" width="9.140625" customWidth="1"/>
    <col min="5634" max="5644" width="12.7109375" customWidth="1"/>
    <col min="5645" max="5645" width="15.140625" customWidth="1"/>
    <col min="5646" max="5652" width="11.7109375" customWidth="1"/>
    <col min="5653" max="5654" width="9.140625" customWidth="1"/>
    <col min="5655" max="5660" width="9.5703125" bestFit="1" customWidth="1"/>
    <col min="5661" max="5661" width="9.28515625" bestFit="1" customWidth="1"/>
    <col min="5662" max="5889" width="9.140625" customWidth="1"/>
    <col min="5890" max="5900" width="12.7109375" customWidth="1"/>
    <col min="5901" max="5901" width="15.140625" customWidth="1"/>
    <col min="5902" max="5908" width="11.7109375" customWidth="1"/>
    <col min="5909" max="5910" width="9.140625" customWidth="1"/>
    <col min="5911" max="5916" width="9.5703125" bestFit="1" customWidth="1"/>
    <col min="5917" max="5917" width="9.28515625" bestFit="1" customWidth="1"/>
    <col min="5918" max="6145" width="9.140625" customWidth="1"/>
    <col min="6146" max="6156" width="12.7109375" customWidth="1"/>
    <col min="6157" max="6157" width="15.140625" customWidth="1"/>
    <col min="6158" max="6164" width="11.7109375" customWidth="1"/>
    <col min="6165" max="6166" width="9.140625" customWidth="1"/>
    <col min="6167" max="6172" width="9.5703125" bestFit="1" customWidth="1"/>
    <col min="6173" max="6173" width="9.28515625" bestFit="1" customWidth="1"/>
    <col min="6174" max="6401" width="9.140625" customWidth="1"/>
    <col min="6402" max="6412" width="12.7109375" customWidth="1"/>
    <col min="6413" max="6413" width="15.140625" customWidth="1"/>
    <col min="6414" max="6420" width="11.7109375" customWidth="1"/>
    <col min="6421" max="6422" width="9.140625" customWidth="1"/>
    <col min="6423" max="6428" width="9.5703125" bestFit="1" customWidth="1"/>
    <col min="6429" max="6429" width="9.28515625" bestFit="1" customWidth="1"/>
    <col min="6430" max="6657" width="9.140625" customWidth="1"/>
    <col min="6658" max="6668" width="12.7109375" customWidth="1"/>
    <col min="6669" max="6669" width="15.140625" customWidth="1"/>
    <col min="6670" max="6676" width="11.7109375" customWidth="1"/>
    <col min="6677" max="6678" width="9.140625" customWidth="1"/>
    <col min="6679" max="6684" width="9.5703125" bestFit="1" customWidth="1"/>
    <col min="6685" max="6685" width="9.28515625" bestFit="1" customWidth="1"/>
    <col min="6686" max="6913" width="9.140625" customWidth="1"/>
    <col min="6914" max="6924" width="12.7109375" customWidth="1"/>
    <col min="6925" max="6925" width="15.140625" customWidth="1"/>
    <col min="6926" max="6932" width="11.7109375" customWidth="1"/>
    <col min="6933" max="6934" width="9.140625" customWidth="1"/>
    <col min="6935" max="6940" width="9.5703125" bestFit="1" customWidth="1"/>
    <col min="6941" max="6941" width="9.28515625" bestFit="1" customWidth="1"/>
    <col min="6942" max="7169" width="9.140625" customWidth="1"/>
    <col min="7170" max="7180" width="12.7109375" customWidth="1"/>
    <col min="7181" max="7181" width="15.140625" customWidth="1"/>
    <col min="7182" max="7188" width="11.7109375" customWidth="1"/>
    <col min="7189" max="7190" width="9.140625" customWidth="1"/>
    <col min="7191" max="7196" width="9.5703125" bestFit="1" customWidth="1"/>
    <col min="7197" max="7197" width="9.28515625" bestFit="1" customWidth="1"/>
    <col min="7198" max="7425" width="9.140625" customWidth="1"/>
    <col min="7426" max="7436" width="12.7109375" customWidth="1"/>
    <col min="7437" max="7437" width="15.140625" customWidth="1"/>
    <col min="7438" max="7444" width="11.7109375" customWidth="1"/>
    <col min="7445" max="7446" width="9.140625" customWidth="1"/>
    <col min="7447" max="7452" width="9.5703125" bestFit="1" customWidth="1"/>
    <col min="7453" max="7453" width="9.28515625" bestFit="1" customWidth="1"/>
    <col min="7454" max="7681" width="9.140625" customWidth="1"/>
    <col min="7682" max="7692" width="12.7109375" customWidth="1"/>
    <col min="7693" max="7693" width="15.140625" customWidth="1"/>
    <col min="7694" max="7700" width="11.7109375" customWidth="1"/>
    <col min="7701" max="7702" width="9.140625" customWidth="1"/>
    <col min="7703" max="7708" width="9.5703125" bestFit="1" customWidth="1"/>
    <col min="7709" max="7709" width="9.28515625" bestFit="1" customWidth="1"/>
    <col min="7710" max="7937" width="9.140625" customWidth="1"/>
    <col min="7938" max="7948" width="12.7109375" customWidth="1"/>
    <col min="7949" max="7949" width="15.140625" customWidth="1"/>
    <col min="7950" max="7956" width="11.7109375" customWidth="1"/>
    <col min="7957" max="7958" width="9.140625" customWidth="1"/>
    <col min="7959" max="7964" width="9.5703125" bestFit="1" customWidth="1"/>
    <col min="7965" max="7965" width="9.28515625" bestFit="1" customWidth="1"/>
    <col min="7966" max="8193" width="9.140625" customWidth="1"/>
    <col min="8194" max="8204" width="12.7109375" customWidth="1"/>
    <col min="8205" max="8205" width="15.140625" customWidth="1"/>
    <col min="8206" max="8212" width="11.7109375" customWidth="1"/>
    <col min="8213" max="8214" width="9.140625" customWidth="1"/>
    <col min="8215" max="8220" width="9.5703125" bestFit="1" customWidth="1"/>
    <col min="8221" max="8221" width="9.28515625" bestFit="1" customWidth="1"/>
    <col min="8222" max="8449" width="9.140625" customWidth="1"/>
    <col min="8450" max="8460" width="12.7109375" customWidth="1"/>
    <col min="8461" max="8461" width="15.140625" customWidth="1"/>
    <col min="8462" max="8468" width="11.7109375" customWidth="1"/>
    <col min="8469" max="8470" width="9.140625" customWidth="1"/>
    <col min="8471" max="8476" width="9.5703125" bestFit="1" customWidth="1"/>
    <col min="8477" max="8477" width="9.28515625" bestFit="1" customWidth="1"/>
    <col min="8478" max="8705" width="9.140625" customWidth="1"/>
    <col min="8706" max="8716" width="12.7109375" customWidth="1"/>
    <col min="8717" max="8717" width="15.140625" customWidth="1"/>
    <col min="8718" max="8724" width="11.7109375" customWidth="1"/>
    <col min="8725" max="8726" width="9.140625" customWidth="1"/>
    <col min="8727" max="8732" width="9.5703125" bestFit="1" customWidth="1"/>
    <col min="8733" max="8733" width="9.28515625" bestFit="1" customWidth="1"/>
    <col min="8734" max="8961" width="9.140625" customWidth="1"/>
    <col min="8962" max="8972" width="12.7109375" customWidth="1"/>
    <col min="8973" max="8973" width="15.140625" customWidth="1"/>
    <col min="8974" max="8980" width="11.7109375" customWidth="1"/>
    <col min="8981" max="8982" width="9.140625" customWidth="1"/>
    <col min="8983" max="8988" width="9.5703125" bestFit="1" customWidth="1"/>
    <col min="8989" max="8989" width="9.28515625" bestFit="1" customWidth="1"/>
    <col min="8990" max="9217" width="9.140625" customWidth="1"/>
    <col min="9218" max="9228" width="12.7109375" customWidth="1"/>
    <col min="9229" max="9229" width="15.140625" customWidth="1"/>
    <col min="9230" max="9236" width="11.7109375" customWidth="1"/>
    <col min="9237" max="9238" width="9.140625" customWidth="1"/>
    <col min="9239" max="9244" width="9.5703125" bestFit="1" customWidth="1"/>
    <col min="9245" max="9245" width="9.28515625" bestFit="1" customWidth="1"/>
    <col min="9246" max="9473" width="9.140625" customWidth="1"/>
    <col min="9474" max="9484" width="12.7109375" customWidth="1"/>
    <col min="9485" max="9485" width="15.140625" customWidth="1"/>
    <col min="9486" max="9492" width="11.7109375" customWidth="1"/>
    <col min="9493" max="9494" width="9.140625" customWidth="1"/>
    <col min="9495" max="9500" width="9.5703125" bestFit="1" customWidth="1"/>
    <col min="9501" max="9501" width="9.28515625" bestFit="1" customWidth="1"/>
    <col min="9502" max="9729" width="9.140625" customWidth="1"/>
    <col min="9730" max="9740" width="12.7109375" customWidth="1"/>
    <col min="9741" max="9741" width="15.140625" customWidth="1"/>
    <col min="9742" max="9748" width="11.7109375" customWidth="1"/>
    <col min="9749" max="9750" width="9.140625" customWidth="1"/>
    <col min="9751" max="9756" width="9.5703125" bestFit="1" customWidth="1"/>
    <col min="9757" max="9757" width="9.28515625" bestFit="1" customWidth="1"/>
    <col min="9758" max="9985" width="9.140625" customWidth="1"/>
    <col min="9986" max="9996" width="12.7109375" customWidth="1"/>
    <col min="9997" max="9997" width="15.140625" customWidth="1"/>
    <col min="9998" max="10004" width="11.7109375" customWidth="1"/>
    <col min="10005" max="10006" width="9.140625" customWidth="1"/>
    <col min="10007" max="10012" width="9.5703125" bestFit="1" customWidth="1"/>
    <col min="10013" max="10013" width="9.28515625" bestFit="1" customWidth="1"/>
    <col min="10014" max="10241" width="9.140625" customWidth="1"/>
    <col min="10242" max="10252" width="12.7109375" customWidth="1"/>
    <col min="10253" max="10253" width="15.140625" customWidth="1"/>
    <col min="10254" max="10260" width="11.7109375" customWidth="1"/>
    <col min="10261" max="10262" width="9.140625" customWidth="1"/>
    <col min="10263" max="10268" width="9.5703125" bestFit="1" customWidth="1"/>
    <col min="10269" max="10269" width="9.28515625" bestFit="1" customWidth="1"/>
    <col min="10270" max="10497" width="9.140625" customWidth="1"/>
    <col min="10498" max="10508" width="12.7109375" customWidth="1"/>
    <col min="10509" max="10509" width="15.140625" customWidth="1"/>
    <col min="10510" max="10516" width="11.7109375" customWidth="1"/>
    <col min="10517" max="10518" width="9.140625" customWidth="1"/>
    <col min="10519" max="10524" width="9.5703125" bestFit="1" customWidth="1"/>
    <col min="10525" max="10525" width="9.28515625" bestFit="1" customWidth="1"/>
    <col min="10526" max="10753" width="9.140625" customWidth="1"/>
    <col min="10754" max="10764" width="12.7109375" customWidth="1"/>
    <col min="10765" max="10765" width="15.140625" customWidth="1"/>
    <col min="10766" max="10772" width="11.7109375" customWidth="1"/>
    <col min="10773" max="10774" width="9.140625" customWidth="1"/>
    <col min="10775" max="10780" width="9.5703125" bestFit="1" customWidth="1"/>
    <col min="10781" max="10781" width="9.28515625" bestFit="1" customWidth="1"/>
    <col min="10782" max="11009" width="9.140625" customWidth="1"/>
    <col min="11010" max="11020" width="12.7109375" customWidth="1"/>
    <col min="11021" max="11021" width="15.140625" customWidth="1"/>
    <col min="11022" max="11028" width="11.7109375" customWidth="1"/>
    <col min="11029" max="11030" width="9.140625" customWidth="1"/>
    <col min="11031" max="11036" width="9.5703125" bestFit="1" customWidth="1"/>
    <col min="11037" max="11037" width="9.28515625" bestFit="1" customWidth="1"/>
    <col min="11038" max="11265" width="9.140625" customWidth="1"/>
    <col min="11266" max="11276" width="12.7109375" customWidth="1"/>
    <col min="11277" max="11277" width="15.140625" customWidth="1"/>
    <col min="11278" max="11284" width="11.7109375" customWidth="1"/>
    <col min="11285" max="11286" width="9.140625" customWidth="1"/>
    <col min="11287" max="11292" width="9.5703125" bestFit="1" customWidth="1"/>
    <col min="11293" max="11293" width="9.28515625" bestFit="1" customWidth="1"/>
    <col min="11294" max="11521" width="9.140625" customWidth="1"/>
    <col min="11522" max="11532" width="12.7109375" customWidth="1"/>
    <col min="11533" max="11533" width="15.140625" customWidth="1"/>
    <col min="11534" max="11540" width="11.7109375" customWidth="1"/>
    <col min="11541" max="11542" width="9.140625" customWidth="1"/>
    <col min="11543" max="11548" width="9.5703125" bestFit="1" customWidth="1"/>
    <col min="11549" max="11549" width="9.28515625" bestFit="1" customWidth="1"/>
    <col min="11550" max="11777" width="9.140625" customWidth="1"/>
    <col min="11778" max="11788" width="12.7109375" customWidth="1"/>
    <col min="11789" max="11789" width="15.140625" customWidth="1"/>
    <col min="11790" max="11796" width="11.7109375" customWidth="1"/>
    <col min="11797" max="11798" width="9.140625" customWidth="1"/>
    <col min="11799" max="11804" width="9.5703125" bestFit="1" customWidth="1"/>
    <col min="11805" max="11805" width="9.28515625" bestFit="1" customWidth="1"/>
    <col min="11806" max="12033" width="9.140625" customWidth="1"/>
    <col min="12034" max="12044" width="12.7109375" customWidth="1"/>
    <col min="12045" max="12045" width="15.140625" customWidth="1"/>
    <col min="12046" max="12052" width="11.7109375" customWidth="1"/>
    <col min="12053" max="12054" width="9.140625" customWidth="1"/>
    <col min="12055" max="12060" width="9.5703125" bestFit="1" customWidth="1"/>
    <col min="12061" max="12061" width="9.28515625" bestFit="1" customWidth="1"/>
    <col min="12062" max="12289" width="9.140625" customWidth="1"/>
    <col min="12290" max="12300" width="12.7109375" customWidth="1"/>
    <col min="12301" max="12301" width="15.140625" customWidth="1"/>
    <col min="12302" max="12308" width="11.7109375" customWidth="1"/>
    <col min="12309" max="12310" width="9.140625" customWidth="1"/>
    <col min="12311" max="12316" width="9.5703125" bestFit="1" customWidth="1"/>
    <col min="12317" max="12317" width="9.28515625" bestFit="1" customWidth="1"/>
    <col min="12318" max="12545" width="9.140625" customWidth="1"/>
    <col min="12546" max="12556" width="12.7109375" customWidth="1"/>
    <col min="12557" max="12557" width="15.140625" customWidth="1"/>
    <col min="12558" max="12564" width="11.7109375" customWidth="1"/>
    <col min="12565" max="12566" width="9.140625" customWidth="1"/>
    <col min="12567" max="12572" width="9.5703125" bestFit="1" customWidth="1"/>
    <col min="12573" max="12573" width="9.28515625" bestFit="1" customWidth="1"/>
    <col min="12574" max="12801" width="9.140625" customWidth="1"/>
    <col min="12802" max="12812" width="12.7109375" customWidth="1"/>
    <col min="12813" max="12813" width="15.140625" customWidth="1"/>
    <col min="12814" max="12820" width="11.7109375" customWidth="1"/>
    <col min="12821" max="12822" width="9.140625" customWidth="1"/>
    <col min="12823" max="12828" width="9.5703125" bestFit="1" customWidth="1"/>
    <col min="12829" max="12829" width="9.28515625" bestFit="1" customWidth="1"/>
    <col min="12830" max="13057" width="9.140625" customWidth="1"/>
    <col min="13058" max="13068" width="12.7109375" customWidth="1"/>
    <col min="13069" max="13069" width="15.140625" customWidth="1"/>
    <col min="13070" max="13076" width="11.7109375" customWidth="1"/>
    <col min="13077" max="13078" width="9.140625" customWidth="1"/>
    <col min="13079" max="13084" width="9.5703125" bestFit="1" customWidth="1"/>
    <col min="13085" max="13085" width="9.28515625" bestFit="1" customWidth="1"/>
    <col min="13086" max="13313" width="9.140625" customWidth="1"/>
    <col min="13314" max="13324" width="12.7109375" customWidth="1"/>
    <col min="13325" max="13325" width="15.140625" customWidth="1"/>
    <col min="13326" max="13332" width="11.7109375" customWidth="1"/>
    <col min="13333" max="13334" width="9.140625" customWidth="1"/>
    <col min="13335" max="13340" width="9.5703125" bestFit="1" customWidth="1"/>
    <col min="13341" max="13341" width="9.28515625" bestFit="1" customWidth="1"/>
    <col min="13342" max="13569" width="9.140625" customWidth="1"/>
    <col min="13570" max="13580" width="12.7109375" customWidth="1"/>
    <col min="13581" max="13581" width="15.140625" customWidth="1"/>
    <col min="13582" max="13588" width="11.7109375" customWidth="1"/>
    <col min="13589" max="13590" width="9.140625" customWidth="1"/>
    <col min="13591" max="13596" width="9.5703125" bestFit="1" customWidth="1"/>
    <col min="13597" max="13597" width="9.28515625" bestFit="1" customWidth="1"/>
    <col min="13598" max="13825" width="9.140625" customWidth="1"/>
    <col min="13826" max="13836" width="12.7109375" customWidth="1"/>
    <col min="13837" max="13837" width="15.140625" customWidth="1"/>
    <col min="13838" max="13844" width="11.7109375" customWidth="1"/>
    <col min="13845" max="13846" width="9.140625" customWidth="1"/>
    <col min="13847" max="13852" width="9.5703125" bestFit="1" customWidth="1"/>
    <col min="13853" max="13853" width="9.28515625" bestFit="1" customWidth="1"/>
    <col min="13854" max="14081" width="9.140625" customWidth="1"/>
    <col min="14082" max="14092" width="12.7109375" customWidth="1"/>
    <col min="14093" max="14093" width="15.140625" customWidth="1"/>
    <col min="14094" max="14100" width="11.7109375" customWidth="1"/>
    <col min="14101" max="14102" width="9.140625" customWidth="1"/>
    <col min="14103" max="14108" width="9.5703125" bestFit="1" customWidth="1"/>
    <col min="14109" max="14109" width="9.28515625" bestFit="1" customWidth="1"/>
    <col min="14110" max="14337" width="9.140625" customWidth="1"/>
    <col min="14338" max="14348" width="12.7109375" customWidth="1"/>
    <col min="14349" max="14349" width="15.140625" customWidth="1"/>
    <col min="14350" max="14356" width="11.7109375" customWidth="1"/>
    <col min="14357" max="14358" width="9.140625" customWidth="1"/>
    <col min="14359" max="14364" width="9.5703125" bestFit="1" customWidth="1"/>
    <col min="14365" max="14365" width="9.28515625" bestFit="1" customWidth="1"/>
    <col min="14366" max="14593" width="9.140625" customWidth="1"/>
    <col min="14594" max="14604" width="12.7109375" customWidth="1"/>
    <col min="14605" max="14605" width="15.140625" customWidth="1"/>
    <col min="14606" max="14612" width="11.7109375" customWidth="1"/>
    <col min="14613" max="14614" width="9.140625" customWidth="1"/>
    <col min="14615" max="14620" width="9.5703125" bestFit="1" customWidth="1"/>
    <col min="14621" max="14621" width="9.28515625" bestFit="1" customWidth="1"/>
    <col min="14622" max="14849" width="9.140625" customWidth="1"/>
    <col min="14850" max="14860" width="12.7109375" customWidth="1"/>
    <col min="14861" max="14861" width="15.140625" customWidth="1"/>
    <col min="14862" max="14868" width="11.7109375" customWidth="1"/>
    <col min="14869" max="14870" width="9.140625" customWidth="1"/>
    <col min="14871" max="14876" width="9.5703125" bestFit="1" customWidth="1"/>
    <col min="14877" max="14877" width="9.28515625" bestFit="1" customWidth="1"/>
    <col min="14878" max="15105" width="9.140625" customWidth="1"/>
    <col min="15106" max="15116" width="12.7109375" customWidth="1"/>
    <col min="15117" max="15117" width="15.140625" customWidth="1"/>
    <col min="15118" max="15124" width="11.7109375" customWidth="1"/>
    <col min="15125" max="15126" width="9.140625" customWidth="1"/>
    <col min="15127" max="15132" width="9.5703125" bestFit="1" customWidth="1"/>
    <col min="15133" max="15133" width="9.28515625" bestFit="1" customWidth="1"/>
    <col min="15134" max="15361" width="9.140625" customWidth="1"/>
    <col min="15362" max="15372" width="12.7109375" customWidth="1"/>
    <col min="15373" max="15373" width="15.140625" customWidth="1"/>
    <col min="15374" max="15380" width="11.7109375" customWidth="1"/>
    <col min="15381" max="15382" width="9.140625" customWidth="1"/>
    <col min="15383" max="15388" width="9.5703125" bestFit="1" customWidth="1"/>
    <col min="15389" max="15389" width="9.28515625" bestFit="1" customWidth="1"/>
    <col min="15390" max="15617" width="9.140625" customWidth="1"/>
    <col min="15618" max="15628" width="12.7109375" customWidth="1"/>
    <col min="15629" max="15629" width="15.140625" customWidth="1"/>
    <col min="15630" max="15636" width="11.7109375" customWidth="1"/>
    <col min="15637" max="15638" width="9.140625" customWidth="1"/>
    <col min="15639" max="15644" width="9.5703125" bestFit="1" customWidth="1"/>
    <col min="15645" max="15645" width="9.28515625" bestFit="1" customWidth="1"/>
    <col min="15646" max="15873" width="9.140625" customWidth="1"/>
    <col min="15874" max="15884" width="12.7109375" customWidth="1"/>
    <col min="15885" max="15885" width="15.140625" customWidth="1"/>
    <col min="15886" max="15892" width="11.7109375" customWidth="1"/>
    <col min="15893" max="15894" width="9.140625" customWidth="1"/>
    <col min="15895" max="15900" width="9.5703125" bestFit="1" customWidth="1"/>
    <col min="15901" max="15901" width="9.28515625" bestFit="1" customWidth="1"/>
    <col min="15902" max="16129" width="9.140625" customWidth="1"/>
    <col min="16130" max="16140" width="12.7109375" customWidth="1"/>
    <col min="16141" max="16141" width="15.140625" customWidth="1"/>
    <col min="16142" max="16148" width="11.7109375" customWidth="1"/>
    <col min="16149" max="16150" width="9.140625" customWidth="1"/>
    <col min="16151" max="16156" width="9.5703125" bestFit="1" customWidth="1"/>
    <col min="16157" max="16157" width="9.28515625" bestFit="1" customWidth="1"/>
    <col min="16158" max="16384" width="9.140625" customWidth="1"/>
  </cols>
  <sheetData>
    <row r="1" spans="1:29" x14ac:dyDescent="0.2">
      <c r="B1" t="s">
        <v>0</v>
      </c>
      <c r="N1" t="s">
        <v>1</v>
      </c>
      <c r="V1" t="s">
        <v>2</v>
      </c>
    </row>
    <row r="3" spans="1:29" s="4" customFormat="1" ht="81" customHeight="1" x14ac:dyDescent="0.2"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38</v>
      </c>
      <c r="H3" s="4" t="s">
        <v>33</v>
      </c>
      <c r="I3" s="4" t="s">
        <v>34</v>
      </c>
      <c r="J3" s="4" t="s">
        <v>37</v>
      </c>
      <c r="K3" s="4" t="s">
        <v>35</v>
      </c>
      <c r="L3" s="4" t="s">
        <v>36</v>
      </c>
      <c r="W3" s="4" t="s">
        <v>39</v>
      </c>
      <c r="X3" s="4" t="s">
        <v>40</v>
      </c>
      <c r="Y3" s="4" t="s">
        <v>41</v>
      </c>
      <c r="Z3" s="4" t="s">
        <v>45</v>
      </c>
      <c r="AA3" s="4" t="s">
        <v>42</v>
      </c>
      <c r="AB3" s="4" t="s">
        <v>43</v>
      </c>
      <c r="AC3" s="10" t="s">
        <v>44</v>
      </c>
    </row>
    <row r="4" spans="1:2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8</v>
      </c>
      <c r="K4" s="1" t="s">
        <v>11</v>
      </c>
      <c r="L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1" t="s">
        <v>27</v>
      </c>
    </row>
    <row r="5" spans="1:29" ht="12.75" customHeight="1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N5" s="1"/>
      <c r="O5" s="1"/>
      <c r="P5" s="1"/>
      <c r="Q5" s="1"/>
      <c r="R5" s="1"/>
      <c r="S5" s="1"/>
      <c r="T5" s="1"/>
      <c r="V5" s="1"/>
      <c r="W5" s="1"/>
      <c r="X5" s="1"/>
      <c r="Y5" s="1"/>
      <c r="Z5" s="1"/>
      <c r="AA5" s="1"/>
      <c r="AB5" s="1"/>
      <c r="AC5" s="11"/>
    </row>
    <row r="6" spans="1:29" x14ac:dyDescent="0.2">
      <c r="A6">
        <v>1947.1</v>
      </c>
      <c r="B6" s="2">
        <v>1570.519</v>
      </c>
      <c r="C6" s="2">
        <v>15.105</v>
      </c>
      <c r="D6" s="2">
        <v>156.30000000000001</v>
      </c>
      <c r="E6" s="2">
        <v>33.200000000000003</v>
      </c>
      <c r="F6" s="2">
        <v>56529.613305613311</v>
      </c>
      <c r="G6" s="2">
        <f>F6/F$188*100</f>
        <v>47.602682294858496</v>
      </c>
      <c r="H6" s="2">
        <v>0.48</v>
      </c>
      <c r="I6" s="2">
        <v>101348.69082213071</v>
      </c>
      <c r="J6" s="2">
        <f t="shared" ref="J6:J69" si="0">I6/I$188</f>
        <v>0.52505655153390351</v>
      </c>
      <c r="K6" s="2">
        <v>115.4</v>
      </c>
      <c r="L6" s="2">
        <v>7.2</v>
      </c>
      <c r="N6" s="3">
        <f t="shared" ref="N6:N69" si="1">LN((D6/C6)/J6)*100</f>
        <v>298.10007275729555</v>
      </c>
      <c r="O6" s="3">
        <f t="shared" ref="O6:O69" si="2">LN((E6/C6)/J6)*100</f>
        <v>143.17733660679676</v>
      </c>
      <c r="P6" s="3">
        <f t="shared" ref="P6:P69" si="3">LN(B6/J6)*100</f>
        <v>800.34107219476243</v>
      </c>
      <c r="Q6" s="3">
        <f>LN((K6*G6/100)/J6)*100</f>
        <v>465.03725834521202</v>
      </c>
      <c r="R6" s="3"/>
      <c r="S6" s="3">
        <f>LN(L6/C6)*100</f>
        <v>-74.094478881662567</v>
      </c>
      <c r="T6" s="3">
        <f t="shared" ref="T6:T69" si="4">H6/4</f>
        <v>0.12</v>
      </c>
    </row>
    <row r="7" spans="1:29" ht="12.75" customHeight="1" x14ac:dyDescent="0.2">
      <c r="A7">
        <v>1947.2</v>
      </c>
      <c r="B7" s="2">
        <v>1568.653</v>
      </c>
      <c r="C7" s="2">
        <v>15.329000000000001</v>
      </c>
      <c r="D7" s="2">
        <v>160.19999999999999</v>
      </c>
      <c r="E7" s="2">
        <v>33.6</v>
      </c>
      <c r="F7" s="2">
        <v>56650.145530145543</v>
      </c>
      <c r="G7" s="2">
        <f t="shared" ref="G7:G69" si="5">F7/F$188*100</f>
        <v>47.704180551350738</v>
      </c>
      <c r="H7" s="2">
        <v>0.48</v>
      </c>
      <c r="I7" s="2">
        <v>101656.08218287402</v>
      </c>
      <c r="J7" s="2">
        <f t="shared" si="0"/>
        <v>0.52664905210331348</v>
      </c>
      <c r="K7" s="2">
        <v>114.9</v>
      </c>
      <c r="L7" s="2">
        <v>7.4</v>
      </c>
      <c r="N7" s="3">
        <f t="shared" si="1"/>
        <v>298.78974630122872</v>
      </c>
      <c r="O7" s="3">
        <f t="shared" si="2"/>
        <v>142.60004953471866</v>
      </c>
      <c r="P7" s="3">
        <f t="shared" si="3"/>
        <v>799.91934558610524</v>
      </c>
      <c r="Q7" s="3">
        <f t="shared" ref="Q7:Q69" si="6">LN((K7*G7/100)/J7)*100</f>
        <v>464.51319230684953</v>
      </c>
      <c r="R7" s="3">
        <f t="shared" ref="R7:R70" si="7">(LN(C7)-LN(C6))*100</f>
        <v>1.4720644345334932</v>
      </c>
      <c r="S7" s="3">
        <f t="shared" ref="S7:S69" si="8">LN(L7/C7)*100</f>
        <v>-72.826645897384623</v>
      </c>
      <c r="T7" s="3">
        <f t="shared" si="4"/>
        <v>0.12</v>
      </c>
    </row>
    <row r="8" spans="1:29" ht="12.75" customHeight="1" x14ac:dyDescent="0.2">
      <c r="A8">
        <v>1947.3</v>
      </c>
      <c r="B8" s="2">
        <v>1567.9659999999999</v>
      </c>
      <c r="C8" s="2">
        <v>15.597</v>
      </c>
      <c r="D8" s="2">
        <v>163.69999999999999</v>
      </c>
      <c r="E8" s="2">
        <v>35.6</v>
      </c>
      <c r="F8" s="2">
        <v>57011.7422037422</v>
      </c>
      <c r="G8" s="2">
        <f t="shared" si="5"/>
        <v>48.008675320827429</v>
      </c>
      <c r="H8" s="2">
        <v>0.83666666666666667</v>
      </c>
      <c r="I8" s="2">
        <v>101964.40586398471</v>
      </c>
      <c r="J8" s="2">
        <f t="shared" si="0"/>
        <v>0.52824638273922997</v>
      </c>
      <c r="K8" s="2">
        <v>114.3</v>
      </c>
      <c r="L8" s="2">
        <v>7.5</v>
      </c>
      <c r="N8" s="3">
        <f t="shared" si="1"/>
        <v>298.91493664472381</v>
      </c>
      <c r="O8" s="3">
        <f t="shared" si="2"/>
        <v>146.34595199281338</v>
      </c>
      <c r="P8" s="3">
        <f t="shared" si="3"/>
        <v>799.5726987141627</v>
      </c>
      <c r="Q8" s="3">
        <f t="shared" si="6"/>
        <v>464.32305853802171</v>
      </c>
      <c r="R8" s="3">
        <f t="shared" si="7"/>
        <v>1.7332128885717779</v>
      </c>
      <c r="S8" s="3">
        <f t="shared" si="8"/>
        <v>-73.217556752742354</v>
      </c>
      <c r="T8" s="3">
        <f t="shared" si="4"/>
        <v>0.20916666666666667</v>
      </c>
      <c r="V8">
        <v>1</v>
      </c>
      <c r="W8">
        <f t="shared" ref="W8:Y71" si="9">N8-N7</f>
        <v>0.12519034349509184</v>
      </c>
      <c r="X8">
        <f t="shared" si="9"/>
        <v>3.7459024580947187</v>
      </c>
      <c r="Y8">
        <f t="shared" si="9"/>
        <v>-0.34664687194253929</v>
      </c>
      <c r="Z8" s="3">
        <f>Q8-Q$239</f>
        <v>2.4059913836434248</v>
      </c>
      <c r="AA8">
        <f t="shared" ref="AA8:AA71" si="10">R8</f>
        <v>1.7332128885717779</v>
      </c>
      <c r="AB8">
        <f t="shared" ref="AB8:AB71" si="11">S8-S7</f>
        <v>-0.39091085535773118</v>
      </c>
      <c r="AC8" s="6">
        <f>T8</f>
        <v>0.20916666666666667</v>
      </c>
    </row>
    <row r="9" spans="1:29" x14ac:dyDescent="0.2">
      <c r="A9">
        <v>1947.4</v>
      </c>
      <c r="B9" s="2">
        <v>1590.9380000000001</v>
      </c>
      <c r="C9" s="2">
        <v>15.989000000000001</v>
      </c>
      <c r="D9" s="2">
        <v>167.8</v>
      </c>
      <c r="E9" s="2">
        <v>39.6</v>
      </c>
      <c r="F9" s="2">
        <v>57493.871101871104</v>
      </c>
      <c r="G9" s="2">
        <f t="shared" si="5"/>
        <v>48.414668346796383</v>
      </c>
      <c r="H9" s="2">
        <v>1.0066666666666666</v>
      </c>
      <c r="I9" s="2">
        <v>102273.66469319761</v>
      </c>
      <c r="J9" s="2">
        <f t="shared" si="0"/>
        <v>0.52984855809128184</v>
      </c>
      <c r="K9" s="2">
        <v>114.5</v>
      </c>
      <c r="L9" s="2">
        <v>7.7</v>
      </c>
      <c r="N9" s="3">
        <f t="shared" si="1"/>
        <v>298.60358609474986</v>
      </c>
      <c r="O9" s="3">
        <f t="shared" si="2"/>
        <v>154.20921851748278</v>
      </c>
      <c r="P9" s="3">
        <f t="shared" si="3"/>
        <v>800.72431110943842</v>
      </c>
      <c r="Q9" s="3">
        <f t="shared" si="6"/>
        <v>465.03715225479942</v>
      </c>
      <c r="R9" s="3">
        <f t="shared" si="7"/>
        <v>2.4822397733595292</v>
      </c>
      <c r="S9" s="3">
        <f t="shared" si="8"/>
        <v>-73.06806569436452</v>
      </c>
      <c r="T9" s="3">
        <f t="shared" si="4"/>
        <v>0.25166666666666665</v>
      </c>
      <c r="V9">
        <f>V8+1</f>
        <v>2</v>
      </c>
      <c r="W9">
        <f t="shared" si="9"/>
        <v>-0.31135054997395173</v>
      </c>
      <c r="X9">
        <f t="shared" si="9"/>
        <v>7.8632665246693989</v>
      </c>
      <c r="Y9">
        <f t="shared" si="9"/>
        <v>1.1516123952757198</v>
      </c>
      <c r="Z9">
        <f t="shared" ref="Z9:Z71" si="12">Q9-Q$239</f>
        <v>3.1200851004211358</v>
      </c>
      <c r="AA9">
        <f t="shared" si="10"/>
        <v>2.4822397733595292</v>
      </c>
      <c r="AB9">
        <f t="shared" si="11"/>
        <v>0.1494910583778335</v>
      </c>
      <c r="AC9" s="6">
        <f t="shared" ref="AC9:AC71" si="13">T9</f>
        <v>0.25166666666666665</v>
      </c>
    </row>
    <row r="10" spans="1:29" ht="12.75" customHeight="1" x14ac:dyDescent="0.2">
      <c r="A10">
        <v>1948.1</v>
      </c>
      <c r="B10" s="2">
        <v>1616.069</v>
      </c>
      <c r="C10" s="2">
        <v>16.111000000000001</v>
      </c>
      <c r="D10" s="2">
        <v>170.5</v>
      </c>
      <c r="E10" s="2">
        <v>41.3</v>
      </c>
      <c r="F10" s="2">
        <v>57976</v>
      </c>
      <c r="G10" s="2">
        <f t="shared" si="5"/>
        <v>48.820661372765315</v>
      </c>
      <c r="H10" s="2">
        <v>1.0900000000000001</v>
      </c>
      <c r="I10" s="2">
        <v>102690.66666666667</v>
      </c>
      <c r="J10" s="2">
        <f t="shared" si="0"/>
        <v>0.53200891770122249</v>
      </c>
      <c r="K10" s="2">
        <v>114.7</v>
      </c>
      <c r="L10" s="2">
        <v>7.9</v>
      </c>
      <c r="N10" s="3">
        <f t="shared" si="1"/>
        <v>299.03280553994222</v>
      </c>
      <c r="O10" s="3">
        <f t="shared" si="2"/>
        <v>157.24552586428379</v>
      </c>
      <c r="P10" s="3">
        <f t="shared" si="3"/>
        <v>801.88469633740078</v>
      </c>
      <c r="Q10" s="3">
        <f t="shared" si="6"/>
        <v>465.63984773734688</v>
      </c>
      <c r="R10" s="3">
        <f t="shared" si="7"/>
        <v>0.76012827055662591</v>
      </c>
      <c r="S10" s="3">
        <f t="shared" si="8"/>
        <v>-71.263950903587371</v>
      </c>
      <c r="T10" s="3">
        <f t="shared" si="4"/>
        <v>0.27250000000000002</v>
      </c>
      <c r="V10">
        <f t="shared" ref="V10:V73" si="14">V9+1</f>
        <v>3</v>
      </c>
      <c r="W10">
        <f t="shared" si="9"/>
        <v>0.42921944519235922</v>
      </c>
      <c r="X10">
        <f t="shared" si="9"/>
        <v>3.03630734680101</v>
      </c>
      <c r="Y10">
        <f t="shared" si="9"/>
        <v>1.1603852279623652</v>
      </c>
      <c r="Z10">
        <f t="shared" si="12"/>
        <v>3.7227805829685963</v>
      </c>
      <c r="AA10">
        <f t="shared" si="10"/>
        <v>0.76012827055662591</v>
      </c>
      <c r="AB10">
        <f t="shared" si="11"/>
        <v>1.8041147907771489</v>
      </c>
      <c r="AC10" s="6">
        <f t="shared" si="13"/>
        <v>0.27250000000000002</v>
      </c>
    </row>
    <row r="11" spans="1:29" x14ac:dyDescent="0.2">
      <c r="A11">
        <v>1948.2</v>
      </c>
      <c r="B11" s="2">
        <v>1644.6369999999999</v>
      </c>
      <c r="C11" s="2">
        <v>16.254000000000001</v>
      </c>
      <c r="D11" s="2">
        <v>174.3</v>
      </c>
      <c r="E11" s="2">
        <v>42.2</v>
      </c>
      <c r="F11" s="2">
        <v>58296</v>
      </c>
      <c r="G11" s="2">
        <f t="shared" si="5"/>
        <v>49.090128249391597</v>
      </c>
      <c r="H11" s="2">
        <v>1.1000000000000001</v>
      </c>
      <c r="I11" s="2">
        <v>102915.33333333333</v>
      </c>
      <c r="J11" s="2">
        <f t="shared" si="0"/>
        <v>0.53317284694675793</v>
      </c>
      <c r="K11" s="2">
        <v>114.3</v>
      </c>
      <c r="L11" s="2">
        <v>8</v>
      </c>
      <c r="N11" s="3">
        <f t="shared" si="1"/>
        <v>300.13485368752578</v>
      </c>
      <c r="O11" s="3">
        <f t="shared" si="2"/>
        <v>158.2990805391249</v>
      </c>
      <c r="P11" s="3">
        <f t="shared" si="3"/>
        <v>803.41845868358405</v>
      </c>
      <c r="Q11" s="3">
        <f t="shared" si="6"/>
        <v>465.62239620955046</v>
      </c>
      <c r="R11" s="3">
        <f t="shared" si="7"/>
        <v>0.88367638221633626</v>
      </c>
      <c r="S11" s="3">
        <f t="shared" si="8"/>
        <v>-70.889749065117712</v>
      </c>
      <c r="T11" s="3">
        <f t="shared" si="4"/>
        <v>0.27500000000000002</v>
      </c>
      <c r="V11">
        <f t="shared" si="14"/>
        <v>4</v>
      </c>
      <c r="W11">
        <f t="shared" si="9"/>
        <v>1.1020481475835595</v>
      </c>
      <c r="X11">
        <f t="shared" si="9"/>
        <v>1.0535546748411093</v>
      </c>
      <c r="Y11">
        <f t="shared" si="9"/>
        <v>1.5337623461832663</v>
      </c>
      <c r="Z11">
        <f t="shared" si="12"/>
        <v>3.7053290551721716</v>
      </c>
      <c r="AA11">
        <f t="shared" si="10"/>
        <v>0.88367638221633626</v>
      </c>
      <c r="AB11">
        <f t="shared" si="11"/>
        <v>0.37420183846965926</v>
      </c>
      <c r="AC11" s="6">
        <f t="shared" si="13"/>
        <v>0.27500000000000002</v>
      </c>
    </row>
    <row r="12" spans="1:29" ht="12.75" customHeight="1" x14ac:dyDescent="0.2">
      <c r="A12">
        <v>1948.3</v>
      </c>
      <c r="B12" s="2">
        <v>1654.0609999999999</v>
      </c>
      <c r="C12" s="2">
        <v>16.556000000000001</v>
      </c>
      <c r="D12" s="2">
        <v>177.2</v>
      </c>
      <c r="E12" s="2">
        <v>43.1</v>
      </c>
      <c r="F12" s="2">
        <v>58645.666666666664</v>
      </c>
      <c r="G12" s="2">
        <f t="shared" si="5"/>
        <v>49.384576951038426</v>
      </c>
      <c r="H12" s="2">
        <v>1.1499999999999999</v>
      </c>
      <c r="I12" s="2">
        <v>103249</v>
      </c>
      <c r="J12" s="2">
        <f t="shared" si="0"/>
        <v>0.53490147183515724</v>
      </c>
      <c r="K12" s="2">
        <v>114</v>
      </c>
      <c r="L12" s="2">
        <v>8.1999999999999993</v>
      </c>
      <c r="N12" s="3">
        <f t="shared" si="1"/>
        <v>299.62031781251414</v>
      </c>
      <c r="O12" s="3">
        <f t="shared" si="2"/>
        <v>158.24471370638634</v>
      </c>
      <c r="P12" s="3">
        <f t="shared" si="3"/>
        <v>803.66614690344272</v>
      </c>
      <c r="Q12" s="3">
        <f t="shared" si="6"/>
        <v>465.63391442251725</v>
      </c>
      <c r="R12" s="3">
        <f t="shared" si="7"/>
        <v>1.840954155547303</v>
      </c>
      <c r="S12" s="3">
        <f t="shared" si="8"/>
        <v>-70.261441961627867</v>
      </c>
      <c r="T12" s="3">
        <f t="shared" si="4"/>
        <v>0.28749999999999998</v>
      </c>
      <c r="V12">
        <f t="shared" si="14"/>
        <v>5</v>
      </c>
      <c r="W12">
        <f t="shared" si="9"/>
        <v>-0.51453587501163156</v>
      </c>
      <c r="X12">
        <f t="shared" si="9"/>
        <v>-5.4366832738566018E-2</v>
      </c>
      <c r="Y12">
        <f t="shared" si="9"/>
        <v>0.24768821985867362</v>
      </c>
      <c r="Z12">
        <f t="shared" si="12"/>
        <v>3.716847268138963</v>
      </c>
      <c r="AA12">
        <f t="shared" si="10"/>
        <v>1.840954155547303</v>
      </c>
      <c r="AB12">
        <f t="shared" si="11"/>
        <v>0.62830710348984553</v>
      </c>
      <c r="AC12" s="6">
        <f t="shared" si="13"/>
        <v>0.28749999999999998</v>
      </c>
    </row>
    <row r="13" spans="1:29" ht="12.75" customHeight="1" x14ac:dyDescent="0.2">
      <c r="A13">
        <v>1948.4</v>
      </c>
      <c r="B13" s="2">
        <v>1657.9880000000001</v>
      </c>
      <c r="C13" s="2">
        <v>16.597000000000001</v>
      </c>
      <c r="D13" s="2">
        <v>178.1</v>
      </c>
      <c r="E13" s="2">
        <v>43.1</v>
      </c>
      <c r="F13" s="2">
        <v>58514.666666666664</v>
      </c>
      <c r="G13" s="2">
        <f t="shared" si="5"/>
        <v>49.274263948419545</v>
      </c>
      <c r="H13" s="2">
        <v>1.24</v>
      </c>
      <c r="I13" s="2">
        <v>103417.66666666667</v>
      </c>
      <c r="J13" s="2">
        <f t="shared" si="0"/>
        <v>0.53577528221830406</v>
      </c>
      <c r="K13" s="2">
        <v>113.6</v>
      </c>
      <c r="L13" s="2">
        <v>8.3000000000000007</v>
      </c>
      <c r="N13" s="3">
        <f t="shared" si="1"/>
        <v>299.71636895707678</v>
      </c>
      <c r="O13" s="3">
        <f t="shared" si="2"/>
        <v>157.8341496384854</v>
      </c>
      <c r="P13" s="3">
        <f t="shared" si="3"/>
        <v>803.74005534470768</v>
      </c>
      <c r="Q13" s="3">
        <f t="shared" si="6"/>
        <v>464.89556910127055</v>
      </c>
      <c r="R13" s="3">
        <f t="shared" si="7"/>
        <v>0.24733822520954796</v>
      </c>
      <c r="S13" s="3">
        <f t="shared" si="8"/>
        <v>-69.296644133602953</v>
      </c>
      <c r="T13" s="3">
        <f t="shared" si="4"/>
        <v>0.31</v>
      </c>
      <c r="V13">
        <f t="shared" si="14"/>
        <v>6</v>
      </c>
      <c r="W13">
        <f t="shared" si="9"/>
        <v>9.6051144562636637E-2</v>
      </c>
      <c r="X13">
        <f t="shared" si="9"/>
        <v>-0.41056406790093547</v>
      </c>
      <c r="Y13">
        <f t="shared" si="9"/>
        <v>7.3908441264961766E-2</v>
      </c>
      <c r="Z13">
        <f t="shared" si="12"/>
        <v>2.9785019468922656</v>
      </c>
      <c r="AA13">
        <f t="shared" si="10"/>
        <v>0.24733822520954796</v>
      </c>
      <c r="AB13">
        <f t="shared" si="11"/>
        <v>0.96479782802491343</v>
      </c>
      <c r="AC13" s="6">
        <f t="shared" si="13"/>
        <v>0.31</v>
      </c>
    </row>
    <row r="14" spans="1:29" ht="12.75" customHeight="1" x14ac:dyDescent="0.2">
      <c r="A14">
        <v>1949.1</v>
      </c>
      <c r="B14" s="2">
        <v>1633.249</v>
      </c>
      <c r="C14" s="2">
        <v>16.530999999999999</v>
      </c>
      <c r="D14" s="2">
        <v>177</v>
      </c>
      <c r="E14" s="2">
        <v>40.5</v>
      </c>
      <c r="F14" s="2">
        <v>58142</v>
      </c>
      <c r="G14" s="2">
        <f t="shared" si="5"/>
        <v>48.960447315015202</v>
      </c>
      <c r="H14" s="2">
        <v>1.27</v>
      </c>
      <c r="I14" s="2">
        <v>103584.33333333333</v>
      </c>
      <c r="J14" s="2">
        <f t="shared" si="0"/>
        <v>0.53663873121350847</v>
      </c>
      <c r="K14" s="2">
        <v>113.5</v>
      </c>
      <c r="L14" s="2">
        <v>8.3000000000000007</v>
      </c>
      <c r="N14" s="3">
        <f t="shared" si="1"/>
        <v>299.33424911689548</v>
      </c>
      <c r="O14" s="3">
        <f t="shared" si="2"/>
        <v>151.84947327076196</v>
      </c>
      <c r="P14" s="3">
        <f t="shared" si="3"/>
        <v>802.07567261105373</v>
      </c>
      <c r="Q14" s="3">
        <f t="shared" si="6"/>
        <v>464.00755900977958</v>
      </c>
      <c r="R14" s="3">
        <f t="shared" si="7"/>
        <v>-0.39845500677064827</v>
      </c>
      <c r="S14" s="3">
        <f t="shared" si="8"/>
        <v>-68.898189126832264</v>
      </c>
      <c r="T14" s="3">
        <f t="shared" si="4"/>
        <v>0.3175</v>
      </c>
      <c r="V14">
        <f t="shared" si="14"/>
        <v>7</v>
      </c>
      <c r="W14">
        <f t="shared" si="9"/>
        <v>-0.38211984018130352</v>
      </c>
      <c r="X14">
        <f t="shared" si="9"/>
        <v>-5.9846763677234378</v>
      </c>
      <c r="Y14">
        <f t="shared" si="9"/>
        <v>-1.6643827336539516</v>
      </c>
      <c r="Z14">
        <f t="shared" si="12"/>
        <v>2.0904918554012966</v>
      </c>
      <c r="AA14">
        <f t="shared" si="10"/>
        <v>-0.39845500677064827</v>
      </c>
      <c r="AB14">
        <f t="shared" si="11"/>
        <v>0.39845500677068912</v>
      </c>
      <c r="AC14" s="6">
        <f t="shared" si="13"/>
        <v>0.3175</v>
      </c>
    </row>
    <row r="15" spans="1:29" x14ac:dyDescent="0.2">
      <c r="A15">
        <v>1949.2</v>
      </c>
      <c r="B15" s="2">
        <v>1628.4390000000001</v>
      </c>
      <c r="C15" s="2">
        <v>16.350000000000001</v>
      </c>
      <c r="D15" s="2">
        <v>178.6</v>
      </c>
      <c r="E15" s="2">
        <v>39.200000000000003</v>
      </c>
      <c r="F15" s="2">
        <v>57490.333333333336</v>
      </c>
      <c r="G15" s="2">
        <f t="shared" si="5"/>
        <v>48.411689248552321</v>
      </c>
      <c r="H15" s="2">
        <v>1.27</v>
      </c>
      <c r="I15" s="2">
        <v>103838</v>
      </c>
      <c r="J15" s="2">
        <f t="shared" si="0"/>
        <v>0.53795290058420953</v>
      </c>
      <c r="K15" s="2">
        <v>113.1</v>
      </c>
      <c r="L15" s="2">
        <v>8.3000000000000007</v>
      </c>
      <c r="N15" s="3">
        <f t="shared" si="1"/>
        <v>301.09050391343197</v>
      </c>
      <c r="O15" s="3">
        <f t="shared" si="2"/>
        <v>149.44331174883379</v>
      </c>
      <c r="P15" s="3">
        <f t="shared" si="3"/>
        <v>801.53614342666742</v>
      </c>
      <c r="Q15" s="3">
        <f t="shared" si="6"/>
        <v>462.28277631319281</v>
      </c>
      <c r="R15" s="3">
        <f t="shared" si="7"/>
        <v>-1.1009508727612527</v>
      </c>
      <c r="S15" s="3">
        <f t="shared" si="8"/>
        <v>-67.797238254071019</v>
      </c>
      <c r="T15" s="3">
        <f t="shared" si="4"/>
        <v>0.3175</v>
      </c>
      <c r="V15">
        <f t="shared" si="14"/>
        <v>8</v>
      </c>
      <c r="W15">
        <f t="shared" si="9"/>
        <v>1.7562547965364956</v>
      </c>
      <c r="X15">
        <f t="shared" si="9"/>
        <v>-2.4061615219281691</v>
      </c>
      <c r="Y15">
        <f t="shared" si="9"/>
        <v>-0.53952918438631059</v>
      </c>
      <c r="Z15">
        <f t="shared" si="12"/>
        <v>0.36570915881452493</v>
      </c>
      <c r="AA15">
        <f t="shared" si="10"/>
        <v>-1.1009508727612527</v>
      </c>
      <c r="AB15">
        <f t="shared" si="11"/>
        <v>1.1009508727612456</v>
      </c>
      <c r="AC15" s="6">
        <f t="shared" si="13"/>
        <v>0.3175</v>
      </c>
    </row>
    <row r="16" spans="1:29" ht="12.75" customHeight="1" x14ac:dyDescent="0.2">
      <c r="A16">
        <v>1949.3</v>
      </c>
      <c r="B16" s="2">
        <v>1646.6980000000001</v>
      </c>
      <c r="C16" s="2">
        <v>16.256</v>
      </c>
      <c r="D16" s="2">
        <v>178</v>
      </c>
      <c r="E16" s="2">
        <v>38.6</v>
      </c>
      <c r="F16" s="2">
        <v>57390.333333333336</v>
      </c>
      <c r="G16" s="2">
        <f t="shared" si="5"/>
        <v>48.327480849606609</v>
      </c>
      <c r="H16" s="2">
        <v>1.1433333333333333</v>
      </c>
      <c r="I16" s="2">
        <v>104127.33333333333</v>
      </c>
      <c r="J16" s="2">
        <f t="shared" si="0"/>
        <v>0.53945184803988433</v>
      </c>
      <c r="K16" s="2">
        <v>112.7</v>
      </c>
      <c r="L16" s="2">
        <v>8.4</v>
      </c>
      <c r="N16" s="3">
        <f t="shared" si="1"/>
        <v>301.05232301013621</v>
      </c>
      <c r="O16" s="3">
        <f t="shared" si="2"/>
        <v>148.19919562800618</v>
      </c>
      <c r="P16" s="3">
        <f t="shared" si="3"/>
        <v>802.37291008782506</v>
      </c>
      <c r="Q16" s="3">
        <f t="shared" si="6"/>
        <v>461.47613468137581</v>
      </c>
      <c r="R16" s="3">
        <f t="shared" si="7"/>
        <v>-0.57658259471913276</v>
      </c>
      <c r="S16" s="3">
        <f t="shared" si="8"/>
        <v>-66.023036554680345</v>
      </c>
      <c r="T16" s="3">
        <f t="shared" si="4"/>
        <v>0.28583333333333333</v>
      </c>
      <c r="V16">
        <f t="shared" si="14"/>
        <v>9</v>
      </c>
      <c r="W16">
        <f t="shared" si="9"/>
        <v>-3.8180903295767621E-2</v>
      </c>
      <c r="X16">
        <f t="shared" si="9"/>
        <v>-1.2441161208276128</v>
      </c>
      <c r="Y16">
        <f t="shared" si="9"/>
        <v>0.83676666115763965</v>
      </c>
      <c r="Z16">
        <f t="shared" si="12"/>
        <v>-0.4409324730024764</v>
      </c>
      <c r="AA16">
        <f t="shared" si="10"/>
        <v>-0.57658259471913276</v>
      </c>
      <c r="AB16">
        <f t="shared" si="11"/>
        <v>1.7742016993906731</v>
      </c>
      <c r="AC16" s="6">
        <f t="shared" si="13"/>
        <v>0.28583333333333333</v>
      </c>
    </row>
    <row r="17" spans="1:29" x14ac:dyDescent="0.2">
      <c r="A17">
        <v>1949.4</v>
      </c>
      <c r="B17" s="2">
        <v>1629.9110000000001</v>
      </c>
      <c r="C17" s="2">
        <v>16.271999999999998</v>
      </c>
      <c r="D17" s="2">
        <v>180.4</v>
      </c>
      <c r="E17" s="2">
        <v>39.9</v>
      </c>
      <c r="F17" s="2">
        <v>57707.666666666664</v>
      </c>
      <c r="G17" s="2">
        <f t="shared" si="5"/>
        <v>48.594702168927661</v>
      </c>
      <c r="H17" s="2">
        <v>1.1766666666666667</v>
      </c>
      <c r="I17" s="2">
        <v>104427.66666666667</v>
      </c>
      <c r="J17" s="2">
        <f t="shared" si="0"/>
        <v>0.5410077831292428</v>
      </c>
      <c r="K17" s="2">
        <v>112.8</v>
      </c>
      <c r="L17" s="2">
        <v>8.4</v>
      </c>
      <c r="N17" s="3">
        <f t="shared" si="1"/>
        <v>302.0052382000938</v>
      </c>
      <c r="O17" s="3">
        <f t="shared" si="2"/>
        <v>151.12520982682321</v>
      </c>
      <c r="P17" s="3">
        <f t="shared" si="3"/>
        <v>801.06023047617305</v>
      </c>
      <c r="Q17" s="3">
        <f t="shared" si="6"/>
        <v>461.82822828492334</v>
      </c>
      <c r="R17" s="3">
        <f t="shared" si="7"/>
        <v>9.8376791013254916E-2</v>
      </c>
      <c r="S17" s="3">
        <f t="shared" si="8"/>
        <v>-66.121413345693611</v>
      </c>
      <c r="T17" s="3">
        <f t="shared" si="4"/>
        <v>0.29416666666666669</v>
      </c>
      <c r="V17">
        <f t="shared" si="14"/>
        <v>10</v>
      </c>
      <c r="W17">
        <f t="shared" si="9"/>
        <v>0.95291518995759361</v>
      </c>
      <c r="X17">
        <f t="shared" si="9"/>
        <v>2.926014198817029</v>
      </c>
      <c r="Y17">
        <f t="shared" si="9"/>
        <v>-1.3126796116520154</v>
      </c>
      <c r="Z17">
        <f t="shared" si="12"/>
        <v>-8.8838869454946234E-2</v>
      </c>
      <c r="AA17">
        <f t="shared" si="10"/>
        <v>9.8376791013254916E-2</v>
      </c>
      <c r="AB17">
        <f t="shared" si="11"/>
        <v>-9.8376791013265574E-2</v>
      </c>
      <c r="AC17" s="6">
        <f t="shared" si="13"/>
        <v>0.29416666666666669</v>
      </c>
    </row>
    <row r="18" spans="1:29" x14ac:dyDescent="0.2">
      <c r="A18">
        <v>1950.1</v>
      </c>
      <c r="B18" s="2">
        <v>1696.7650000000001</v>
      </c>
      <c r="C18" s="2">
        <v>16.222000000000001</v>
      </c>
      <c r="D18" s="2">
        <v>183.1</v>
      </c>
      <c r="E18" s="2">
        <v>42.3</v>
      </c>
      <c r="F18" s="2">
        <v>57704.666666666664</v>
      </c>
      <c r="G18" s="2">
        <f t="shared" si="5"/>
        <v>48.592175916959292</v>
      </c>
      <c r="H18" s="2">
        <v>1.2033333333333336</v>
      </c>
      <c r="I18" s="2">
        <v>104733.33333333333</v>
      </c>
      <c r="J18" s="2">
        <f t="shared" si="0"/>
        <v>0.54259134858644764</v>
      </c>
      <c r="K18" s="2">
        <v>113.3</v>
      </c>
      <c r="L18" s="2">
        <v>8.6</v>
      </c>
      <c r="N18" s="3">
        <f t="shared" si="1"/>
        <v>303.50629292837635</v>
      </c>
      <c r="O18" s="3">
        <f t="shared" si="2"/>
        <v>156.98175636555311</v>
      </c>
      <c r="P18" s="3">
        <f t="shared" si="3"/>
        <v>804.78775992264775</v>
      </c>
      <c r="Q18" s="3">
        <f t="shared" si="6"/>
        <v>461.97303338806137</v>
      </c>
      <c r="R18" s="3">
        <f t="shared" si="7"/>
        <v>-0.30774936580506562</v>
      </c>
      <c r="S18" s="3">
        <f t="shared" si="8"/>
        <v>-63.460614238869098</v>
      </c>
      <c r="T18" s="3">
        <f t="shared" si="4"/>
        <v>0.3008333333333334</v>
      </c>
      <c r="V18">
        <f t="shared" si="14"/>
        <v>11</v>
      </c>
      <c r="W18">
        <f t="shared" si="9"/>
        <v>1.5010547282825542</v>
      </c>
      <c r="X18">
        <f t="shared" si="9"/>
        <v>5.8565465387299014</v>
      </c>
      <c r="Y18">
        <f t="shared" si="9"/>
        <v>3.7275294464747049</v>
      </c>
      <c r="Z18">
        <f t="shared" si="12"/>
        <v>5.5966233683079736E-2</v>
      </c>
      <c r="AA18">
        <f t="shared" si="10"/>
        <v>-0.30774936580506562</v>
      </c>
      <c r="AB18">
        <f t="shared" si="11"/>
        <v>2.6607991068245127</v>
      </c>
      <c r="AC18" s="6">
        <f t="shared" si="13"/>
        <v>0.3008333333333334</v>
      </c>
    </row>
    <row r="19" spans="1:29" x14ac:dyDescent="0.2">
      <c r="A19">
        <v>1950.2</v>
      </c>
      <c r="B19" s="2">
        <v>1747.3219999999999</v>
      </c>
      <c r="C19" s="2">
        <v>16.286000000000001</v>
      </c>
      <c r="D19" s="2">
        <v>187</v>
      </c>
      <c r="E19" s="2">
        <v>47</v>
      </c>
      <c r="F19" s="2">
        <v>58761.333333333336</v>
      </c>
      <c r="G19" s="2">
        <f t="shared" si="5"/>
        <v>49.481977999152306</v>
      </c>
      <c r="H19" s="2">
        <v>1.2533333333333332</v>
      </c>
      <c r="I19" s="2">
        <v>105020.33333333333</v>
      </c>
      <c r="J19" s="2">
        <f t="shared" si="0"/>
        <v>0.54407820775618954</v>
      </c>
      <c r="K19" s="2">
        <v>113.6</v>
      </c>
      <c r="L19" s="2">
        <v>8.6999999999999993</v>
      </c>
      <c r="N19" s="3">
        <f t="shared" si="1"/>
        <v>304.94650520112305</v>
      </c>
      <c r="O19" s="3">
        <f t="shared" si="2"/>
        <v>166.85040368667026</v>
      </c>
      <c r="P19" s="3">
        <f t="shared" si="3"/>
        <v>807.45018873217737</v>
      </c>
      <c r="Q19" s="3">
        <f t="shared" si="6"/>
        <v>463.77841209564667</v>
      </c>
      <c r="R19" s="3">
        <f t="shared" si="7"/>
        <v>0.39374973967865046</v>
      </c>
      <c r="S19" s="3">
        <f t="shared" si="8"/>
        <v>-62.698281738440166</v>
      </c>
      <c r="T19" s="3">
        <f t="shared" si="4"/>
        <v>0.3133333333333333</v>
      </c>
      <c r="V19">
        <f t="shared" si="14"/>
        <v>12</v>
      </c>
      <c r="W19">
        <f t="shared" si="9"/>
        <v>1.4402122727466917</v>
      </c>
      <c r="X19">
        <f t="shared" si="9"/>
        <v>9.8686473211171517</v>
      </c>
      <c r="Y19">
        <f t="shared" si="9"/>
        <v>2.6624288095296151</v>
      </c>
      <c r="Z19">
        <f t="shared" si="12"/>
        <v>1.8613449412683849</v>
      </c>
      <c r="AA19">
        <f t="shared" si="10"/>
        <v>0.39374973967865046</v>
      </c>
      <c r="AB19">
        <f t="shared" si="11"/>
        <v>0.76233250042893275</v>
      </c>
      <c r="AC19" s="6">
        <f t="shared" si="13"/>
        <v>0.3133333333333333</v>
      </c>
    </row>
    <row r="20" spans="1:29" x14ac:dyDescent="0.2">
      <c r="A20">
        <v>1950.3</v>
      </c>
      <c r="B20" s="2">
        <v>1815.845</v>
      </c>
      <c r="C20" s="2">
        <v>16.63</v>
      </c>
      <c r="D20" s="2">
        <v>200.7</v>
      </c>
      <c r="E20" s="2">
        <v>52</v>
      </c>
      <c r="F20" s="2">
        <v>59457.666666666664</v>
      </c>
      <c r="G20" s="2">
        <f t="shared" si="5"/>
        <v>50.068349150477601</v>
      </c>
      <c r="H20" s="2">
        <v>1.32</v>
      </c>
      <c r="I20" s="2">
        <v>105248.33333333333</v>
      </c>
      <c r="J20" s="2">
        <f t="shared" si="0"/>
        <v>0.54525940598162925</v>
      </c>
      <c r="K20" s="2">
        <v>114.1</v>
      </c>
      <c r="L20" s="2">
        <v>8.9</v>
      </c>
      <c r="N20" s="3">
        <f t="shared" si="1"/>
        <v>309.70965858779556</v>
      </c>
      <c r="O20" s="3">
        <f t="shared" si="2"/>
        <v>174.65290486570905</v>
      </c>
      <c r="P20" s="3">
        <f t="shared" si="3"/>
        <v>811.07998263761056</v>
      </c>
      <c r="Q20" s="3">
        <f t="shared" si="6"/>
        <v>465.17877491274578</v>
      </c>
      <c r="R20" s="3">
        <f t="shared" si="7"/>
        <v>2.0902450159896446</v>
      </c>
      <c r="S20" s="3">
        <f t="shared" si="8"/>
        <v>-62.515701646674202</v>
      </c>
      <c r="T20" s="3">
        <f t="shared" si="4"/>
        <v>0.33</v>
      </c>
      <c r="V20">
        <f t="shared" si="14"/>
        <v>13</v>
      </c>
      <c r="W20">
        <f t="shared" si="9"/>
        <v>4.7631533866725135</v>
      </c>
      <c r="X20">
        <f t="shared" si="9"/>
        <v>7.802501179038785</v>
      </c>
      <c r="Y20">
        <f t="shared" si="9"/>
        <v>3.6297939054331891</v>
      </c>
      <c r="Z20">
        <f t="shared" si="12"/>
        <v>3.2617077583674927</v>
      </c>
      <c r="AA20">
        <f t="shared" si="10"/>
        <v>2.0902450159896446</v>
      </c>
      <c r="AB20">
        <f t="shared" si="11"/>
        <v>0.18258009176596346</v>
      </c>
      <c r="AC20" s="6">
        <f t="shared" si="13"/>
        <v>0.33</v>
      </c>
    </row>
    <row r="21" spans="1:29" x14ac:dyDescent="0.2">
      <c r="A21">
        <v>1950.4</v>
      </c>
      <c r="B21" s="2">
        <v>1848.9280000000001</v>
      </c>
      <c r="C21" s="2">
        <v>16.95</v>
      </c>
      <c r="D21" s="2">
        <v>198.1</v>
      </c>
      <c r="E21" s="2">
        <v>51.9</v>
      </c>
      <c r="F21" s="2">
        <v>59643</v>
      </c>
      <c r="G21" s="2">
        <f t="shared" si="5"/>
        <v>50.224415383190326</v>
      </c>
      <c r="H21" s="2">
        <v>1.4366666666666668</v>
      </c>
      <c r="I21" s="2">
        <v>104982.33333333333</v>
      </c>
      <c r="J21" s="2">
        <f t="shared" si="0"/>
        <v>0.54388134138528299</v>
      </c>
      <c r="K21" s="2">
        <v>114.2</v>
      </c>
      <c r="L21" s="2">
        <v>9.1</v>
      </c>
      <c r="N21" s="3">
        <f t="shared" si="1"/>
        <v>306.75282982499266</v>
      </c>
      <c r="O21" s="3">
        <f t="shared" si="2"/>
        <v>172.80751347172639</v>
      </c>
      <c r="P21" s="3">
        <f t="shared" si="3"/>
        <v>813.13854690332755</v>
      </c>
      <c r="Q21" s="3">
        <f t="shared" si="6"/>
        <v>465.83065602825633</v>
      </c>
      <c r="R21" s="3">
        <f t="shared" si="7"/>
        <v>1.9059540621622961</v>
      </c>
      <c r="S21" s="3">
        <f t="shared" si="8"/>
        <v>-62.199342030365493</v>
      </c>
      <c r="T21" s="3">
        <f t="shared" si="4"/>
        <v>0.35916666666666669</v>
      </c>
      <c r="V21">
        <f t="shared" si="14"/>
        <v>14</v>
      </c>
      <c r="W21">
        <f t="shared" si="9"/>
        <v>-2.9568287628028997</v>
      </c>
      <c r="X21">
        <f t="shared" si="9"/>
        <v>-1.8453913939826521</v>
      </c>
      <c r="Y21">
        <f t="shared" si="9"/>
        <v>2.0585642657169956</v>
      </c>
      <c r="Z21">
        <f t="shared" si="12"/>
        <v>3.9135888738780409</v>
      </c>
      <c r="AA21">
        <f t="shared" si="10"/>
        <v>1.9059540621622961</v>
      </c>
      <c r="AB21">
        <f t="shared" si="11"/>
        <v>0.31635961630870923</v>
      </c>
      <c r="AC21" s="6">
        <f t="shared" si="13"/>
        <v>0.35916666666666669</v>
      </c>
    </row>
    <row r="22" spans="1:29" x14ac:dyDescent="0.2">
      <c r="A22">
        <v>1951.1</v>
      </c>
      <c r="B22" s="2">
        <v>1871.3109999999999</v>
      </c>
      <c r="C22" s="2">
        <v>17.582000000000001</v>
      </c>
      <c r="D22" s="2">
        <v>209.4</v>
      </c>
      <c r="E22" s="2">
        <v>51.7</v>
      </c>
      <c r="F22" s="2">
        <v>59899.333333333336</v>
      </c>
      <c r="G22" s="2">
        <f t="shared" si="5"/>
        <v>50.440269579154496</v>
      </c>
      <c r="H22" s="2">
        <v>1.4666666666666666</v>
      </c>
      <c r="I22" s="2">
        <v>104692.33333333333</v>
      </c>
      <c r="J22" s="2">
        <f t="shared" si="0"/>
        <v>0.54237894013362731</v>
      </c>
      <c r="K22" s="2">
        <v>114.3</v>
      </c>
      <c r="L22" s="2">
        <v>9.4</v>
      </c>
      <c r="N22" s="3">
        <f t="shared" si="1"/>
        <v>308.91610173044609</v>
      </c>
      <c r="O22" s="3">
        <f t="shared" si="2"/>
        <v>169.03725003824078</v>
      </c>
      <c r="P22" s="3">
        <f t="shared" si="3"/>
        <v>814.61849040299228</v>
      </c>
      <c r="Q22" s="3">
        <f t="shared" si="6"/>
        <v>466.62366107431626</v>
      </c>
      <c r="R22" s="3">
        <f t="shared" si="7"/>
        <v>3.6607817602527959</v>
      </c>
      <c r="S22" s="3">
        <f t="shared" si="8"/>
        <v>-62.616596215302856</v>
      </c>
      <c r="T22" s="3">
        <f t="shared" si="4"/>
        <v>0.36666666666666664</v>
      </c>
      <c r="V22">
        <f t="shared" si="14"/>
        <v>15</v>
      </c>
      <c r="W22">
        <f t="shared" si="9"/>
        <v>2.1632719054534277</v>
      </c>
      <c r="X22">
        <f t="shared" si="9"/>
        <v>-3.77026343348561</v>
      </c>
      <c r="Y22">
        <f t="shared" si="9"/>
        <v>1.4799434996647278</v>
      </c>
      <c r="Z22">
        <f t="shared" si="12"/>
        <v>4.7065939199379727</v>
      </c>
      <c r="AA22">
        <f t="shared" si="10"/>
        <v>3.6607817602527959</v>
      </c>
      <c r="AB22">
        <f t="shared" si="11"/>
        <v>-0.41725418493736299</v>
      </c>
      <c r="AC22" s="6">
        <f t="shared" si="13"/>
        <v>0.36666666666666664</v>
      </c>
    </row>
    <row r="23" spans="1:29" x14ac:dyDescent="0.2">
      <c r="A23">
        <v>1951.2</v>
      </c>
      <c r="B23" s="2">
        <v>1903.1179999999999</v>
      </c>
      <c r="C23" s="2">
        <v>17.690000000000001</v>
      </c>
      <c r="D23" s="2">
        <v>205.1</v>
      </c>
      <c r="E23" s="2">
        <v>50.1</v>
      </c>
      <c r="F23" s="2">
        <v>59899</v>
      </c>
      <c r="G23" s="2">
        <f t="shared" si="5"/>
        <v>50.439988884491335</v>
      </c>
      <c r="H23" s="2">
        <v>1.59</v>
      </c>
      <c r="I23" s="2">
        <v>104506.66666666667</v>
      </c>
      <c r="J23" s="2">
        <f t="shared" si="0"/>
        <v>0.54141705795296968</v>
      </c>
      <c r="K23" s="2">
        <v>114.3</v>
      </c>
      <c r="L23" s="2">
        <v>9.5</v>
      </c>
      <c r="N23" s="3">
        <f t="shared" si="1"/>
        <v>306.40635520882375</v>
      </c>
      <c r="O23" s="3">
        <f t="shared" si="2"/>
        <v>165.45868951007216</v>
      </c>
      <c r="P23" s="3">
        <f t="shared" si="3"/>
        <v>816.48142679121736</v>
      </c>
      <c r="Q23" s="3">
        <f t="shared" si="6"/>
        <v>466.80060707200556</v>
      </c>
      <c r="R23" s="3">
        <f t="shared" si="7"/>
        <v>0.61238567427071011</v>
      </c>
      <c r="S23" s="3">
        <f t="shared" si="8"/>
        <v>-62.170770956519874</v>
      </c>
      <c r="T23" s="3">
        <f t="shared" si="4"/>
        <v>0.39750000000000002</v>
      </c>
      <c r="V23">
        <f t="shared" si="14"/>
        <v>16</v>
      </c>
      <c r="W23">
        <f t="shared" si="9"/>
        <v>-2.5097465216223327</v>
      </c>
      <c r="X23">
        <f t="shared" si="9"/>
        <v>-3.578560528168623</v>
      </c>
      <c r="Y23">
        <f t="shared" si="9"/>
        <v>1.86293638822508</v>
      </c>
      <c r="Z23">
        <f t="shared" si="12"/>
        <v>4.8835399176272745</v>
      </c>
      <c r="AA23">
        <f t="shared" si="10"/>
        <v>0.61238567427071011</v>
      </c>
      <c r="AB23">
        <f t="shared" si="11"/>
        <v>0.44582525878298185</v>
      </c>
      <c r="AC23" s="6">
        <f t="shared" si="13"/>
        <v>0.39750000000000002</v>
      </c>
    </row>
    <row r="24" spans="1:29" x14ac:dyDescent="0.2">
      <c r="A24">
        <v>1951.3</v>
      </c>
      <c r="B24" s="2">
        <v>1941.1089999999999</v>
      </c>
      <c r="C24" s="2">
        <v>17.7</v>
      </c>
      <c r="D24" s="2">
        <v>207.8</v>
      </c>
      <c r="E24" s="2">
        <v>49.6</v>
      </c>
      <c r="F24" s="2">
        <v>59954.333333333336</v>
      </c>
      <c r="G24" s="2">
        <f t="shared" si="5"/>
        <v>50.486584198574633</v>
      </c>
      <c r="H24" s="2">
        <v>1.7033333333333336</v>
      </c>
      <c r="I24" s="2">
        <v>104542.66666666667</v>
      </c>
      <c r="J24" s="2">
        <f t="shared" si="0"/>
        <v>0.54160356293593381</v>
      </c>
      <c r="K24" s="2">
        <v>113.6</v>
      </c>
      <c r="L24" s="2">
        <v>9.6999999999999993</v>
      </c>
      <c r="N24" s="3">
        <f t="shared" si="1"/>
        <v>307.62324179535102</v>
      </c>
      <c r="O24" s="3">
        <f t="shared" si="2"/>
        <v>164.36471730192648</v>
      </c>
      <c r="P24" s="3">
        <f t="shared" si="3"/>
        <v>818.42357170807509</v>
      </c>
      <c r="Q24" s="3">
        <f t="shared" si="6"/>
        <v>466.24419407205562</v>
      </c>
      <c r="R24" s="3">
        <f t="shared" si="7"/>
        <v>5.6513140808922557E-2</v>
      </c>
      <c r="S24" s="3">
        <f t="shared" si="8"/>
        <v>-60.143875407044646</v>
      </c>
      <c r="T24" s="3">
        <f t="shared" si="4"/>
        <v>0.4258333333333334</v>
      </c>
      <c r="V24">
        <f t="shared" si="14"/>
        <v>17</v>
      </c>
      <c r="W24">
        <f t="shared" si="9"/>
        <v>1.2168865865272664</v>
      </c>
      <c r="X24">
        <f t="shared" si="9"/>
        <v>-1.0939722081456864</v>
      </c>
      <c r="Y24">
        <f t="shared" si="9"/>
        <v>1.9421449168577283</v>
      </c>
      <c r="Z24">
        <f t="shared" si="12"/>
        <v>4.327126917677333</v>
      </c>
      <c r="AA24">
        <f t="shared" si="10"/>
        <v>5.6513140808922557E-2</v>
      </c>
      <c r="AB24">
        <f t="shared" si="11"/>
        <v>2.0268955494752277</v>
      </c>
      <c r="AC24" s="6">
        <f t="shared" si="13"/>
        <v>0.4258333333333334</v>
      </c>
    </row>
    <row r="25" spans="1:29" x14ac:dyDescent="0.2">
      <c r="A25">
        <v>1951.4</v>
      </c>
      <c r="B25" s="2">
        <v>1944.4469999999999</v>
      </c>
      <c r="C25" s="2">
        <v>17.896000000000001</v>
      </c>
      <c r="D25" s="2">
        <v>211.8</v>
      </c>
      <c r="E25" s="2">
        <v>49.6</v>
      </c>
      <c r="F25" s="2">
        <v>60114.333333333336</v>
      </c>
      <c r="G25" s="2">
        <f t="shared" si="5"/>
        <v>50.621317636887774</v>
      </c>
      <c r="H25" s="2">
        <v>1.71</v>
      </c>
      <c r="I25" s="2">
        <v>104746.66666666667</v>
      </c>
      <c r="J25" s="2">
        <f t="shared" si="0"/>
        <v>0.542660424506064</v>
      </c>
      <c r="K25" s="2">
        <v>113.6</v>
      </c>
      <c r="L25" s="2">
        <v>9.8000000000000007</v>
      </c>
      <c r="N25" s="3">
        <f t="shared" si="1"/>
        <v>308.23367328863492</v>
      </c>
      <c r="O25" s="3">
        <f t="shared" si="2"/>
        <v>163.06851334499251</v>
      </c>
      <c r="P25" s="3">
        <f t="shared" si="3"/>
        <v>818.40044207671076</v>
      </c>
      <c r="Q25" s="3">
        <f t="shared" si="6"/>
        <v>466.31576289502101</v>
      </c>
      <c r="R25" s="3">
        <f t="shared" si="7"/>
        <v>1.1012584608045106</v>
      </c>
      <c r="S25" s="3">
        <f t="shared" si="8"/>
        <v>-60.219483851130221</v>
      </c>
      <c r="T25" s="3">
        <f t="shared" si="4"/>
        <v>0.42749999999999999</v>
      </c>
      <c r="V25">
        <f t="shared" si="14"/>
        <v>18</v>
      </c>
      <c r="W25">
        <f t="shared" si="9"/>
        <v>0.61043149328389745</v>
      </c>
      <c r="X25">
        <f t="shared" si="9"/>
        <v>-1.2962039569339652</v>
      </c>
      <c r="Y25">
        <f t="shared" si="9"/>
        <v>-2.3129631364326997E-2</v>
      </c>
      <c r="Z25">
        <f t="shared" si="12"/>
        <v>4.3986957406427223</v>
      </c>
      <c r="AA25">
        <f t="shared" si="10"/>
        <v>1.1012584608045106</v>
      </c>
      <c r="AB25">
        <f t="shared" si="11"/>
        <v>-7.5608444085574433E-2</v>
      </c>
      <c r="AC25" s="6">
        <f t="shared" si="13"/>
        <v>0.42749999999999999</v>
      </c>
    </row>
    <row r="26" spans="1:29" x14ac:dyDescent="0.2">
      <c r="A26">
        <v>1952.1</v>
      </c>
      <c r="B26" s="2">
        <v>1964.67</v>
      </c>
      <c r="C26" s="2">
        <v>17.879000000000001</v>
      </c>
      <c r="D26" s="2">
        <v>213.1</v>
      </c>
      <c r="E26" s="2">
        <v>50.5</v>
      </c>
      <c r="F26" s="2">
        <v>60276.666666666664</v>
      </c>
      <c r="G26" s="2">
        <f t="shared" si="5"/>
        <v>50.75801593784297</v>
      </c>
      <c r="H26" s="2">
        <v>1.6666666666666667</v>
      </c>
      <c r="I26" s="2">
        <v>104863.33333333333</v>
      </c>
      <c r="J26" s="2">
        <f t="shared" si="0"/>
        <v>0.54326483880270704</v>
      </c>
      <c r="K26" s="2">
        <v>114</v>
      </c>
      <c r="L26" s="2">
        <v>10</v>
      </c>
      <c r="N26" s="3">
        <f t="shared" si="1"/>
        <v>308.82930446843045</v>
      </c>
      <c r="O26" s="3">
        <f t="shared" si="2"/>
        <v>164.85048418610472</v>
      </c>
      <c r="P26" s="3">
        <f t="shared" si="3"/>
        <v>819.3237916618159</v>
      </c>
      <c r="Q26" s="3">
        <f t="shared" si="6"/>
        <v>466.82561627191535</v>
      </c>
      <c r="R26" s="3">
        <f t="shared" si="7"/>
        <v>-9.5038441814532248E-2</v>
      </c>
      <c r="S26" s="3">
        <f t="shared" si="8"/>
        <v>-58.104174677563734</v>
      </c>
      <c r="T26" s="3">
        <f t="shared" si="4"/>
        <v>0.41666666666666669</v>
      </c>
      <c r="V26">
        <f t="shared" si="14"/>
        <v>19</v>
      </c>
      <c r="W26">
        <f t="shared" si="9"/>
        <v>0.59563117979553226</v>
      </c>
      <c r="X26">
        <f t="shared" si="9"/>
        <v>1.7819708411122122</v>
      </c>
      <c r="Y26">
        <f t="shared" si="9"/>
        <v>0.92334958510514298</v>
      </c>
      <c r="Z26">
        <f t="shared" si="12"/>
        <v>4.9085491175370635</v>
      </c>
      <c r="AA26">
        <f t="shared" si="10"/>
        <v>-9.5038441814532248E-2</v>
      </c>
      <c r="AB26">
        <f t="shared" si="11"/>
        <v>2.1153091735664873</v>
      </c>
      <c r="AC26" s="6">
        <f t="shared" si="13"/>
        <v>0.41666666666666669</v>
      </c>
    </row>
    <row r="27" spans="1:29" x14ac:dyDescent="0.2">
      <c r="A27">
        <v>1952.2</v>
      </c>
      <c r="B27" s="2">
        <v>1966.0440000000001</v>
      </c>
      <c r="C27" s="2">
        <v>17.913</v>
      </c>
      <c r="D27" s="2">
        <v>217.3</v>
      </c>
      <c r="E27" s="2">
        <v>51.4</v>
      </c>
      <c r="F27" s="2">
        <v>60107.666666666664</v>
      </c>
      <c r="G27" s="2">
        <f t="shared" si="5"/>
        <v>50.615703743624721</v>
      </c>
      <c r="H27" s="2">
        <v>1.7466666666666668</v>
      </c>
      <c r="I27" s="2">
        <v>105006.66666666667</v>
      </c>
      <c r="J27" s="2">
        <f t="shared" si="0"/>
        <v>0.54400740493858291</v>
      </c>
      <c r="K27" s="2">
        <v>113.4</v>
      </c>
      <c r="L27" s="2">
        <v>10</v>
      </c>
      <c r="N27" s="3">
        <f t="shared" si="1"/>
        <v>310.45446012288022</v>
      </c>
      <c r="O27" s="3">
        <f t="shared" si="2"/>
        <v>166.29038864275375</v>
      </c>
      <c r="P27" s="3">
        <f t="shared" si="3"/>
        <v>819.25711011240116</v>
      </c>
      <c r="Q27" s="3">
        <f t="shared" si="6"/>
        <v>465.88055043140776</v>
      </c>
      <c r="R27" s="3">
        <f t="shared" si="7"/>
        <v>0.18998664632818851</v>
      </c>
      <c r="S27" s="3">
        <f t="shared" si="8"/>
        <v>-58.294161323891949</v>
      </c>
      <c r="T27" s="3">
        <f t="shared" si="4"/>
        <v>0.4366666666666667</v>
      </c>
      <c r="V27">
        <f t="shared" si="14"/>
        <v>20</v>
      </c>
      <c r="W27">
        <f t="shared" si="9"/>
        <v>1.6251556544497703</v>
      </c>
      <c r="X27">
        <f t="shared" si="9"/>
        <v>1.4399044566490318</v>
      </c>
      <c r="Y27">
        <f t="shared" si="9"/>
        <v>-6.6681549414738583E-2</v>
      </c>
      <c r="Z27">
        <f t="shared" si="12"/>
        <v>3.9634832770294679</v>
      </c>
      <c r="AA27">
        <f t="shared" si="10"/>
        <v>0.18998664632818851</v>
      </c>
      <c r="AB27">
        <f t="shared" si="11"/>
        <v>-0.18998664632821516</v>
      </c>
      <c r="AC27" s="6">
        <f t="shared" si="13"/>
        <v>0.4366666666666667</v>
      </c>
    </row>
    <row r="28" spans="1:29" x14ac:dyDescent="0.2">
      <c r="A28">
        <v>1952.3</v>
      </c>
      <c r="B28" s="2">
        <v>1978.806</v>
      </c>
      <c r="C28" s="2">
        <v>18.119</v>
      </c>
      <c r="D28" s="2">
        <v>219.8</v>
      </c>
      <c r="E28" s="2">
        <v>48.3</v>
      </c>
      <c r="F28" s="2">
        <v>60094</v>
      </c>
      <c r="G28" s="2">
        <f t="shared" si="5"/>
        <v>50.604195262435482</v>
      </c>
      <c r="H28" s="2">
        <v>1.8833333333333333</v>
      </c>
      <c r="I28" s="2">
        <v>105342.66666666667</v>
      </c>
      <c r="J28" s="2">
        <f t="shared" si="0"/>
        <v>0.5457481181129149</v>
      </c>
      <c r="K28" s="2">
        <v>113.6</v>
      </c>
      <c r="L28" s="2">
        <v>10.1</v>
      </c>
      <c r="N28" s="3">
        <f t="shared" si="1"/>
        <v>310.13546623320957</v>
      </c>
      <c r="O28" s="3">
        <f t="shared" si="2"/>
        <v>158.60681810211017</v>
      </c>
      <c r="P28" s="3">
        <f t="shared" si="3"/>
        <v>819.58466433061938</v>
      </c>
      <c r="Q28" s="3">
        <f t="shared" si="6"/>
        <v>465.71455352968655</v>
      </c>
      <c r="R28" s="3">
        <f t="shared" si="7"/>
        <v>1.1434405221005584</v>
      </c>
      <c r="S28" s="3">
        <f t="shared" si="8"/>
        <v>-58.442568760675663</v>
      </c>
      <c r="T28" s="3">
        <f t="shared" si="4"/>
        <v>0.47083333333333333</v>
      </c>
      <c r="V28">
        <f t="shared" si="14"/>
        <v>21</v>
      </c>
      <c r="W28">
        <f t="shared" si="9"/>
        <v>-0.31899388967065079</v>
      </c>
      <c r="X28">
        <f t="shared" si="9"/>
        <v>-7.6835705406435864</v>
      </c>
      <c r="Y28">
        <f t="shared" si="9"/>
        <v>0.32755421821821074</v>
      </c>
      <c r="Z28">
        <f t="shared" si="12"/>
        <v>3.7974863753082673</v>
      </c>
      <c r="AA28">
        <f t="shared" si="10"/>
        <v>1.1434405221005584</v>
      </c>
      <c r="AB28">
        <f t="shared" si="11"/>
        <v>-0.14840743678371382</v>
      </c>
      <c r="AC28" s="6">
        <f t="shared" si="13"/>
        <v>0.47083333333333333</v>
      </c>
    </row>
    <row r="29" spans="1:29" x14ac:dyDescent="0.2">
      <c r="A29">
        <v>1952.4</v>
      </c>
      <c r="B29" s="2">
        <v>2043.7950000000001</v>
      </c>
      <c r="C29" s="2">
        <v>18.172000000000001</v>
      </c>
      <c r="D29" s="2">
        <v>227.9</v>
      </c>
      <c r="E29" s="2">
        <v>51.9</v>
      </c>
      <c r="F29" s="2">
        <v>60611.333333333336</v>
      </c>
      <c r="G29" s="2">
        <f t="shared" si="5"/>
        <v>51.039833379647959</v>
      </c>
      <c r="H29" s="2">
        <v>1.9933333333333334</v>
      </c>
      <c r="I29" s="2">
        <v>105703</v>
      </c>
      <c r="J29" s="2">
        <f t="shared" si="0"/>
        <v>0.54761489484054682</v>
      </c>
      <c r="K29" s="2">
        <v>114</v>
      </c>
      <c r="L29" s="2">
        <v>10.4</v>
      </c>
      <c r="N29" s="3">
        <f t="shared" si="1"/>
        <v>313.12079740721077</v>
      </c>
      <c r="O29" s="3">
        <f t="shared" si="2"/>
        <v>165.16198279923117</v>
      </c>
      <c r="P29" s="3">
        <f t="shared" si="3"/>
        <v>822.47466384694144</v>
      </c>
      <c r="Q29" s="3">
        <f t="shared" si="6"/>
        <v>466.58176226499057</v>
      </c>
      <c r="R29" s="3">
        <f t="shared" si="7"/>
        <v>0.29208364431863032</v>
      </c>
      <c r="S29" s="3">
        <f t="shared" si="8"/>
        <v>-55.807614174983001</v>
      </c>
      <c r="T29" s="3">
        <f t="shared" si="4"/>
        <v>0.49833333333333335</v>
      </c>
      <c r="V29">
        <f t="shared" si="14"/>
        <v>22</v>
      </c>
      <c r="W29">
        <f t="shared" si="9"/>
        <v>2.9853311740012032</v>
      </c>
      <c r="X29">
        <f t="shared" si="9"/>
        <v>6.5551646971210005</v>
      </c>
      <c r="Y29">
        <f t="shared" si="9"/>
        <v>2.8899995163220638</v>
      </c>
      <c r="Z29">
        <f t="shared" si="12"/>
        <v>4.6646951106122856</v>
      </c>
      <c r="AA29">
        <f t="shared" si="10"/>
        <v>0.29208364431863032</v>
      </c>
      <c r="AB29">
        <f t="shared" si="11"/>
        <v>2.6349545856926611</v>
      </c>
      <c r="AC29" s="6">
        <f t="shared" si="13"/>
        <v>0.49833333333333335</v>
      </c>
    </row>
    <row r="30" spans="1:29" x14ac:dyDescent="0.2">
      <c r="A30">
        <v>1953.1</v>
      </c>
      <c r="B30" s="2">
        <v>2082.277</v>
      </c>
      <c r="C30" s="2">
        <v>18.172000000000001</v>
      </c>
      <c r="D30" s="2">
        <v>231.5</v>
      </c>
      <c r="E30" s="2">
        <v>54</v>
      </c>
      <c r="F30" s="2">
        <v>61831.333333333336</v>
      </c>
      <c r="G30" s="2">
        <f t="shared" si="5"/>
        <v>52.067175846785631</v>
      </c>
      <c r="H30" s="2">
        <v>2.08</v>
      </c>
      <c r="I30" s="2">
        <v>106672</v>
      </c>
      <c r="J30" s="2">
        <f t="shared" si="0"/>
        <v>0.55263498729866523</v>
      </c>
      <c r="K30" s="2">
        <v>114</v>
      </c>
      <c r="L30" s="2">
        <v>10.5</v>
      </c>
      <c r="N30" s="3">
        <f t="shared" si="1"/>
        <v>313.77554801582909</v>
      </c>
      <c r="O30" s="3">
        <f t="shared" si="2"/>
        <v>168.21596531962763</v>
      </c>
      <c r="P30" s="3">
        <f t="shared" si="3"/>
        <v>823.42748400032485</v>
      </c>
      <c r="Q30" s="3">
        <f t="shared" si="6"/>
        <v>467.66205450129092</v>
      </c>
      <c r="R30" s="3">
        <f t="shared" si="7"/>
        <v>0</v>
      </c>
      <c r="S30" s="3">
        <f t="shared" si="8"/>
        <v>-54.850669073367932</v>
      </c>
      <c r="T30" s="3">
        <f t="shared" si="4"/>
        <v>0.52</v>
      </c>
      <c r="V30">
        <f t="shared" si="14"/>
        <v>23</v>
      </c>
      <c r="W30">
        <f t="shared" si="9"/>
        <v>0.6547506086183148</v>
      </c>
      <c r="X30">
        <f t="shared" si="9"/>
        <v>3.0539825203964597</v>
      </c>
      <c r="Y30">
        <f t="shared" si="9"/>
        <v>0.95282015338341353</v>
      </c>
      <c r="Z30">
        <f t="shared" si="12"/>
        <v>5.7449873469126373</v>
      </c>
      <c r="AA30">
        <f t="shared" si="10"/>
        <v>0</v>
      </c>
      <c r="AB30">
        <f t="shared" si="11"/>
        <v>0.9569451016150694</v>
      </c>
      <c r="AC30" s="6">
        <f t="shared" si="13"/>
        <v>0.52</v>
      </c>
    </row>
    <row r="31" spans="1:29" x14ac:dyDescent="0.2">
      <c r="A31">
        <v>1953.2</v>
      </c>
      <c r="B31" s="2">
        <v>2098.0830000000001</v>
      </c>
      <c r="C31" s="2">
        <v>18.206</v>
      </c>
      <c r="D31" s="2">
        <v>233.3</v>
      </c>
      <c r="E31" s="2">
        <v>54.6</v>
      </c>
      <c r="F31" s="2">
        <v>61306.333333333336</v>
      </c>
      <c r="G31" s="2">
        <f t="shared" si="5"/>
        <v>51.625081752320646</v>
      </c>
      <c r="H31" s="2">
        <v>2.253333333333333</v>
      </c>
      <c r="I31" s="2">
        <v>106904.66666666667</v>
      </c>
      <c r="J31" s="2">
        <f t="shared" si="0"/>
        <v>0.55384036209597065</v>
      </c>
      <c r="K31" s="2">
        <v>113.7</v>
      </c>
      <c r="L31" s="2">
        <v>10.7</v>
      </c>
      <c r="N31" s="3">
        <f t="shared" si="1"/>
        <v>314.14527577652126</v>
      </c>
      <c r="O31" s="3">
        <f t="shared" si="2"/>
        <v>168.91614614886873</v>
      </c>
      <c r="P31" s="3">
        <f t="shared" si="3"/>
        <v>823.96581384817637</v>
      </c>
      <c r="Q31" s="3">
        <f t="shared" si="6"/>
        <v>466.32796384493281</v>
      </c>
      <c r="R31" s="3">
        <f t="shared" si="7"/>
        <v>0.18692621859401903</v>
      </c>
      <c r="S31" s="3">
        <f t="shared" si="8"/>
        <v>-53.150746861523665</v>
      </c>
      <c r="T31" s="3">
        <f t="shared" si="4"/>
        <v>0.56333333333333324</v>
      </c>
      <c r="V31">
        <f t="shared" si="14"/>
        <v>24</v>
      </c>
      <c r="W31">
        <f t="shared" si="9"/>
        <v>0.36972776069217161</v>
      </c>
      <c r="X31">
        <f t="shared" si="9"/>
        <v>0.70018082924110558</v>
      </c>
      <c r="Y31">
        <f t="shared" si="9"/>
        <v>0.53832984785151439</v>
      </c>
      <c r="Z31">
        <f t="shared" si="12"/>
        <v>4.410896690554523</v>
      </c>
      <c r="AA31">
        <f t="shared" si="10"/>
        <v>0.18692621859401903</v>
      </c>
      <c r="AB31">
        <f t="shared" si="11"/>
        <v>1.6999222118442674</v>
      </c>
      <c r="AC31" s="6">
        <f t="shared" si="13"/>
        <v>0.56333333333333324</v>
      </c>
    </row>
    <row r="32" spans="1:29" x14ac:dyDescent="0.2">
      <c r="A32">
        <v>1953.3</v>
      </c>
      <c r="B32" s="2">
        <v>2085.4189999999999</v>
      </c>
      <c r="C32" s="2">
        <v>18.276</v>
      </c>
      <c r="D32" s="2">
        <v>234</v>
      </c>
      <c r="E32" s="2">
        <v>55.1</v>
      </c>
      <c r="F32" s="2">
        <v>61151.333333333336</v>
      </c>
      <c r="G32" s="2">
        <f t="shared" si="5"/>
        <v>51.494558733954797</v>
      </c>
      <c r="H32" s="2">
        <v>2.0566666666666666</v>
      </c>
      <c r="I32" s="2">
        <v>107139.66666666667</v>
      </c>
      <c r="J32" s="2">
        <f t="shared" si="0"/>
        <v>0.55505782517920887</v>
      </c>
      <c r="K32" s="2">
        <v>112.8</v>
      </c>
      <c r="L32" s="2">
        <v>10.8</v>
      </c>
      <c r="N32" s="3">
        <f t="shared" si="1"/>
        <v>313.8415372807641</v>
      </c>
      <c r="O32" s="3">
        <f t="shared" si="2"/>
        <v>169.22439736088083</v>
      </c>
      <c r="P32" s="3">
        <f t="shared" si="3"/>
        <v>823.14080544268791</v>
      </c>
      <c r="Q32" s="3">
        <f t="shared" si="6"/>
        <v>465.06052806632079</v>
      </c>
      <c r="R32" s="3">
        <f t="shared" si="7"/>
        <v>0.38375136179280567</v>
      </c>
      <c r="S32" s="3">
        <f t="shared" si="8"/>
        <v>-52.604258957085101</v>
      </c>
      <c r="T32" s="3">
        <f t="shared" si="4"/>
        <v>0.51416666666666666</v>
      </c>
      <c r="V32">
        <f t="shared" si="14"/>
        <v>25</v>
      </c>
      <c r="W32">
        <f t="shared" si="9"/>
        <v>-0.30373849575715894</v>
      </c>
      <c r="X32">
        <f t="shared" si="9"/>
        <v>0.30825121201209527</v>
      </c>
      <c r="Y32">
        <f t="shared" si="9"/>
        <v>-0.82500840548846099</v>
      </c>
      <c r="Z32">
        <f t="shared" si="12"/>
        <v>3.1434609119424977</v>
      </c>
      <c r="AA32">
        <f t="shared" si="10"/>
        <v>0.38375136179280567</v>
      </c>
      <c r="AB32">
        <f t="shared" si="11"/>
        <v>0.54648790443856399</v>
      </c>
      <c r="AC32" s="6">
        <f t="shared" si="13"/>
        <v>0.51416666666666666</v>
      </c>
    </row>
    <row r="33" spans="1:29" x14ac:dyDescent="0.2">
      <c r="A33">
        <v>1953.4</v>
      </c>
      <c r="B33" s="2">
        <v>2052.5320000000002</v>
      </c>
      <c r="C33" s="2">
        <v>18.315999999999999</v>
      </c>
      <c r="D33" s="2">
        <v>233.5</v>
      </c>
      <c r="E33" s="2">
        <v>54.4</v>
      </c>
      <c r="F33" s="2">
        <v>60536</v>
      </c>
      <c r="G33" s="2">
        <f t="shared" si="5"/>
        <v>50.976396385775516</v>
      </c>
      <c r="H33" s="2">
        <v>1.5733333333333335</v>
      </c>
      <c r="I33" s="2">
        <v>107503.33333333333</v>
      </c>
      <c r="J33" s="2">
        <f t="shared" si="0"/>
        <v>0.55694187088674485</v>
      </c>
      <c r="K33" s="2">
        <v>112.5</v>
      </c>
      <c r="L33" s="2">
        <v>10.9</v>
      </c>
      <c r="N33" s="3">
        <f t="shared" si="1"/>
        <v>313.07014878800408</v>
      </c>
      <c r="O33" s="3">
        <f t="shared" si="2"/>
        <v>167.38835646329861</v>
      </c>
      <c r="P33" s="3">
        <f t="shared" si="3"/>
        <v>821.21238375139831</v>
      </c>
      <c r="Q33" s="3">
        <f t="shared" si="6"/>
        <v>463.44401508490955</v>
      </c>
      <c r="R33" s="3">
        <f t="shared" si="7"/>
        <v>0.2186271093823855</v>
      </c>
      <c r="S33" s="3">
        <f t="shared" si="8"/>
        <v>-51.901220555975094</v>
      </c>
      <c r="T33" s="3">
        <f t="shared" si="4"/>
        <v>0.39333333333333337</v>
      </c>
      <c r="V33">
        <f t="shared" si="14"/>
        <v>26</v>
      </c>
      <c r="W33">
        <f t="shared" si="9"/>
        <v>-0.77138849276002475</v>
      </c>
      <c r="X33">
        <f t="shared" si="9"/>
        <v>-1.8360408975822224</v>
      </c>
      <c r="Y33">
        <f t="shared" si="9"/>
        <v>-1.9284216912895999</v>
      </c>
      <c r="Z33">
        <f t="shared" si="12"/>
        <v>1.5269479305312643</v>
      </c>
      <c r="AA33">
        <f t="shared" si="10"/>
        <v>0.2186271093823855</v>
      </c>
      <c r="AB33">
        <f t="shared" si="11"/>
        <v>0.70303840111000682</v>
      </c>
      <c r="AC33" s="6">
        <f t="shared" si="13"/>
        <v>0.39333333333333337</v>
      </c>
    </row>
    <row r="34" spans="1:29" x14ac:dyDescent="0.2">
      <c r="A34">
        <v>1954.1</v>
      </c>
      <c r="B34" s="2">
        <v>2042.42</v>
      </c>
      <c r="C34" s="2">
        <v>18.375</v>
      </c>
      <c r="D34" s="2">
        <v>235.5</v>
      </c>
      <c r="E34" s="2">
        <v>53.5</v>
      </c>
      <c r="F34" s="2">
        <v>60291</v>
      </c>
      <c r="G34" s="2">
        <f t="shared" si="5"/>
        <v>50.770085808358523</v>
      </c>
      <c r="H34" s="2">
        <v>1.1599999999999999</v>
      </c>
      <c r="I34" s="2">
        <v>107876.66666666667</v>
      </c>
      <c r="J34" s="2">
        <f t="shared" si="0"/>
        <v>0.55887599663600274</v>
      </c>
      <c r="K34" s="2">
        <v>112.4</v>
      </c>
      <c r="L34" s="2">
        <v>11</v>
      </c>
      <c r="N34" s="3">
        <f t="shared" si="1"/>
        <v>313.25475294975053</v>
      </c>
      <c r="O34" s="3">
        <f t="shared" si="2"/>
        <v>165.05182699429938</v>
      </c>
      <c r="P34" s="3">
        <f t="shared" si="3"/>
        <v>820.3718319420359</v>
      </c>
      <c r="Q34" s="3">
        <f t="shared" si="6"/>
        <v>462.60287317083362</v>
      </c>
      <c r="R34" s="3">
        <f t="shared" si="7"/>
        <v>0.32160503040512545</v>
      </c>
      <c r="S34" s="3">
        <f t="shared" si="8"/>
        <v>-51.30957723005298</v>
      </c>
      <c r="T34" s="3">
        <f t="shared" si="4"/>
        <v>0.28999999999999998</v>
      </c>
      <c r="V34">
        <f t="shared" si="14"/>
        <v>27</v>
      </c>
      <c r="W34">
        <f t="shared" si="9"/>
        <v>0.18460416174644934</v>
      </c>
      <c r="X34">
        <f t="shared" si="9"/>
        <v>-2.3365294689992311</v>
      </c>
      <c r="Y34">
        <f t="shared" si="9"/>
        <v>-0.84055180936240959</v>
      </c>
      <c r="Z34">
        <f t="shared" si="12"/>
        <v>0.68580601645533079</v>
      </c>
      <c r="AA34">
        <f t="shared" si="10"/>
        <v>0.32160503040512545</v>
      </c>
      <c r="AB34">
        <f t="shared" si="11"/>
        <v>0.59164332592211366</v>
      </c>
      <c r="AC34" s="6">
        <f t="shared" si="13"/>
        <v>0.28999999999999998</v>
      </c>
    </row>
    <row r="35" spans="1:29" x14ac:dyDescent="0.2">
      <c r="A35">
        <v>1954.2</v>
      </c>
      <c r="B35" s="2">
        <v>2044.2860000000001</v>
      </c>
      <c r="C35" s="2">
        <v>18.391999999999999</v>
      </c>
      <c r="D35" s="2">
        <v>238.3</v>
      </c>
      <c r="E35" s="2">
        <v>54.6</v>
      </c>
      <c r="F35" s="2">
        <v>59961.666666666664</v>
      </c>
      <c r="G35" s="2">
        <f t="shared" si="5"/>
        <v>50.492759481163986</v>
      </c>
      <c r="H35" s="2">
        <v>0.89</v>
      </c>
      <c r="I35" s="2">
        <v>108177</v>
      </c>
      <c r="J35" s="2">
        <f t="shared" si="0"/>
        <v>0.56043193172536099</v>
      </c>
      <c r="K35" s="2">
        <v>112.5</v>
      </c>
      <c r="L35" s="2">
        <v>11</v>
      </c>
      <c r="N35" s="3">
        <f t="shared" si="1"/>
        <v>314.06620825484384</v>
      </c>
      <c r="O35" s="3">
        <f t="shared" si="2"/>
        <v>166.71655811946016</v>
      </c>
      <c r="P35" s="3">
        <f t="shared" si="3"/>
        <v>820.18513491621991</v>
      </c>
      <c r="Q35" s="3">
        <f t="shared" si="6"/>
        <v>461.8660470952297</v>
      </c>
      <c r="R35" s="3">
        <f t="shared" si="7"/>
        <v>9.247423619802575E-2</v>
      </c>
      <c r="S35" s="3">
        <f t="shared" si="8"/>
        <v>-51.402051466250988</v>
      </c>
      <c r="T35" s="3">
        <f t="shared" si="4"/>
        <v>0.2225</v>
      </c>
      <c r="V35">
        <f t="shared" si="14"/>
        <v>28</v>
      </c>
      <c r="W35">
        <f t="shared" si="9"/>
        <v>0.8114553050933182</v>
      </c>
      <c r="X35">
        <f t="shared" si="9"/>
        <v>1.6647311251607846</v>
      </c>
      <c r="Y35">
        <f t="shared" si="9"/>
        <v>-0.18669702581598813</v>
      </c>
      <c r="Z35">
        <f t="shared" si="12"/>
        <v>-5.1020059148584096E-2</v>
      </c>
      <c r="AA35">
        <f t="shared" si="10"/>
        <v>9.247423619802575E-2</v>
      </c>
      <c r="AB35">
        <f t="shared" si="11"/>
        <v>-9.2474236198007986E-2</v>
      </c>
      <c r="AC35" s="6">
        <f t="shared" si="13"/>
        <v>0.2225</v>
      </c>
    </row>
    <row r="36" spans="1:29" x14ac:dyDescent="0.2">
      <c r="A36">
        <v>1954.3</v>
      </c>
      <c r="B36" s="2">
        <v>2066.8649999999998</v>
      </c>
      <c r="C36" s="2">
        <v>18.425000000000001</v>
      </c>
      <c r="D36" s="2">
        <v>240.7</v>
      </c>
      <c r="E36" s="2">
        <v>56.8</v>
      </c>
      <c r="F36" s="2">
        <v>59926</v>
      </c>
      <c r="G36" s="2">
        <f t="shared" si="5"/>
        <v>50.46272515220668</v>
      </c>
      <c r="H36" s="2">
        <v>1.0266666666666666</v>
      </c>
      <c r="I36" s="2">
        <v>108443.33333333333</v>
      </c>
      <c r="J36" s="2">
        <f t="shared" si="0"/>
        <v>0.56181172321969763</v>
      </c>
      <c r="K36" s="2">
        <v>112.3</v>
      </c>
      <c r="L36" s="2">
        <v>11.1</v>
      </c>
      <c r="N36" s="3">
        <f t="shared" si="1"/>
        <v>314.64314039957452</v>
      </c>
      <c r="O36" s="3">
        <f t="shared" si="2"/>
        <v>170.24163849338242</v>
      </c>
      <c r="P36" s="3">
        <f t="shared" si="3"/>
        <v>821.03767427845185</v>
      </c>
      <c r="Q36" s="3">
        <f t="shared" si="6"/>
        <v>461.38271209802662</v>
      </c>
      <c r="R36" s="3">
        <f t="shared" si="7"/>
        <v>0.17926506145196086</v>
      </c>
      <c r="S36" s="3">
        <f t="shared" si="8"/>
        <v>-50.676332975711205</v>
      </c>
      <c r="T36" s="3">
        <f t="shared" si="4"/>
        <v>0.25666666666666665</v>
      </c>
      <c r="V36">
        <f t="shared" si="14"/>
        <v>29</v>
      </c>
      <c r="W36">
        <f t="shared" si="9"/>
        <v>0.57693214473067655</v>
      </c>
      <c r="X36">
        <f t="shared" si="9"/>
        <v>3.5250803739222647</v>
      </c>
      <c r="Y36">
        <f t="shared" si="9"/>
        <v>0.85253936223193705</v>
      </c>
      <c r="Z36">
        <f t="shared" si="12"/>
        <v>-0.53435505635167146</v>
      </c>
      <c r="AA36">
        <f t="shared" si="10"/>
        <v>0.17926506145196086</v>
      </c>
      <c r="AB36">
        <f t="shared" si="11"/>
        <v>0.72571849053978355</v>
      </c>
      <c r="AC36" s="6">
        <f t="shared" si="13"/>
        <v>0.25666666666666665</v>
      </c>
    </row>
    <row r="37" spans="1:29" x14ac:dyDescent="0.2">
      <c r="A37">
        <v>1954.4</v>
      </c>
      <c r="B37" s="2">
        <v>2107.8009999999999</v>
      </c>
      <c r="C37" s="2">
        <v>18.477</v>
      </c>
      <c r="D37" s="2">
        <v>245.5</v>
      </c>
      <c r="E37" s="2">
        <v>58.1</v>
      </c>
      <c r="F37" s="2">
        <v>60247.666666666664</v>
      </c>
      <c r="G37" s="2">
        <f t="shared" si="5"/>
        <v>50.733595502148724</v>
      </c>
      <c r="H37" s="2">
        <v>0.98666666666666669</v>
      </c>
      <c r="I37" s="2">
        <v>108786</v>
      </c>
      <c r="J37" s="2">
        <f t="shared" si="0"/>
        <v>0.56358697435383787</v>
      </c>
      <c r="K37" s="2">
        <v>112.9</v>
      </c>
      <c r="L37" s="2">
        <v>11.2</v>
      </c>
      <c r="N37" s="3">
        <f t="shared" si="1"/>
        <v>316.02038425946961</v>
      </c>
      <c r="O37" s="3">
        <f t="shared" si="2"/>
        <v>171.90725592179859</v>
      </c>
      <c r="P37" s="3">
        <f t="shared" si="3"/>
        <v>822.68341136611753</v>
      </c>
      <c r="Q37" s="3">
        <f t="shared" si="6"/>
        <v>462.13542202318456</v>
      </c>
      <c r="R37" s="3">
        <f t="shared" si="7"/>
        <v>0.28182772976159676</v>
      </c>
      <c r="S37" s="3">
        <f t="shared" si="8"/>
        <v>-50.061293707196718</v>
      </c>
      <c r="T37" s="3">
        <f t="shared" si="4"/>
        <v>0.24666666666666667</v>
      </c>
      <c r="V37">
        <f t="shared" si="14"/>
        <v>30</v>
      </c>
      <c r="W37">
        <f t="shared" si="9"/>
        <v>1.3772438598950885</v>
      </c>
      <c r="X37">
        <f t="shared" si="9"/>
        <v>1.6656174284161693</v>
      </c>
      <c r="Y37">
        <f t="shared" si="9"/>
        <v>1.6457370876656796</v>
      </c>
      <c r="Z37">
        <f t="shared" si="12"/>
        <v>0.21835486880627286</v>
      </c>
      <c r="AA37">
        <f t="shared" si="10"/>
        <v>0.28182772976159676</v>
      </c>
      <c r="AB37">
        <f t="shared" si="11"/>
        <v>0.61503926851448654</v>
      </c>
      <c r="AC37" s="6">
        <f t="shared" si="13"/>
        <v>0.24666666666666667</v>
      </c>
    </row>
    <row r="38" spans="1:29" x14ac:dyDescent="0.2">
      <c r="A38">
        <v>1955.1</v>
      </c>
      <c r="B38" s="2">
        <v>2168.4699999999998</v>
      </c>
      <c r="C38" s="2">
        <v>18.565999999999999</v>
      </c>
      <c r="D38" s="2">
        <v>251.8</v>
      </c>
      <c r="E38" s="2">
        <v>60.4</v>
      </c>
      <c r="F38" s="2">
        <v>60814.666666666664</v>
      </c>
      <c r="G38" s="2">
        <f t="shared" si="5"/>
        <v>51.2110571241709</v>
      </c>
      <c r="H38" s="2">
        <v>1.343333333333333</v>
      </c>
      <c r="I38" s="2">
        <v>109130.33333333333</v>
      </c>
      <c r="J38" s="2">
        <f t="shared" si="0"/>
        <v>0.56537085997793024</v>
      </c>
      <c r="K38" s="2">
        <v>113.4</v>
      </c>
      <c r="L38" s="2">
        <v>11.3</v>
      </c>
      <c r="N38" s="3">
        <f t="shared" si="1"/>
        <v>317.75765444559954</v>
      </c>
      <c r="O38" s="3">
        <f t="shared" si="2"/>
        <v>174.99305277865176</v>
      </c>
      <c r="P38" s="3">
        <f t="shared" si="3"/>
        <v>825.20505025554382</v>
      </c>
      <c r="Q38" s="3">
        <f t="shared" si="6"/>
        <v>463.19800473150883</v>
      </c>
      <c r="R38" s="3">
        <f t="shared" si="7"/>
        <v>0.48052356047247891</v>
      </c>
      <c r="S38" s="3">
        <f t="shared" si="8"/>
        <v>-49.652922525944575</v>
      </c>
      <c r="T38" s="3">
        <f t="shared" si="4"/>
        <v>0.33583333333333326</v>
      </c>
      <c r="V38">
        <f t="shared" si="14"/>
        <v>31</v>
      </c>
      <c r="W38">
        <f t="shared" si="9"/>
        <v>1.7372701861299333</v>
      </c>
      <c r="X38">
        <f t="shared" si="9"/>
        <v>3.0857968568531646</v>
      </c>
      <c r="Y38">
        <f t="shared" si="9"/>
        <v>2.5216388894262991</v>
      </c>
      <c r="Z38">
        <f t="shared" si="12"/>
        <v>1.280937577130544</v>
      </c>
      <c r="AA38">
        <f t="shared" si="10"/>
        <v>0.48052356047247891</v>
      </c>
      <c r="AB38">
        <f t="shared" si="11"/>
        <v>0.40837118125214289</v>
      </c>
      <c r="AC38" s="6">
        <f t="shared" si="13"/>
        <v>0.33583333333333326</v>
      </c>
    </row>
    <row r="39" spans="1:29" x14ac:dyDescent="0.2">
      <c r="A39">
        <v>1955.2</v>
      </c>
      <c r="B39" s="2">
        <v>2204.0079999999998</v>
      </c>
      <c r="C39" s="2">
        <v>18.643999999999998</v>
      </c>
      <c r="D39" s="2">
        <v>256.89999999999998</v>
      </c>
      <c r="E39" s="2">
        <v>63.5</v>
      </c>
      <c r="F39" s="2">
        <v>61643.333333333336</v>
      </c>
      <c r="G39" s="2">
        <f t="shared" si="5"/>
        <v>51.90886405676769</v>
      </c>
      <c r="H39" s="2">
        <v>1.5</v>
      </c>
      <c r="I39" s="2">
        <v>109533.66666666667</v>
      </c>
      <c r="J39" s="2">
        <f t="shared" si="0"/>
        <v>0.5674604065463249</v>
      </c>
      <c r="K39" s="2">
        <v>113.5</v>
      </c>
      <c r="L39" s="2">
        <v>11.4</v>
      </c>
      <c r="N39" s="3">
        <f t="shared" si="1"/>
        <v>318.97468258661451</v>
      </c>
      <c r="O39" s="3">
        <f t="shared" si="2"/>
        <v>179.20998276489536</v>
      </c>
      <c r="P39" s="3">
        <f t="shared" si="3"/>
        <v>826.46171002910853</v>
      </c>
      <c r="Q39" s="3">
        <f t="shared" si="6"/>
        <v>464.27065178573974</v>
      </c>
      <c r="R39" s="3">
        <f t="shared" si="7"/>
        <v>0.41924275327533955</v>
      </c>
      <c r="S39" s="3">
        <f t="shared" si="8"/>
        <v>-49.191102311004464</v>
      </c>
      <c r="T39" s="3">
        <f t="shared" si="4"/>
        <v>0.375</v>
      </c>
      <c r="V39">
        <f t="shared" si="14"/>
        <v>32</v>
      </c>
      <c r="W39">
        <f t="shared" si="9"/>
        <v>1.2170281410149641</v>
      </c>
      <c r="X39">
        <f t="shared" si="9"/>
        <v>4.2169299862435992</v>
      </c>
      <c r="Y39">
        <f t="shared" si="9"/>
        <v>1.2566597735647065</v>
      </c>
      <c r="Z39">
        <f t="shared" si="12"/>
        <v>2.353584631361457</v>
      </c>
      <c r="AA39">
        <f t="shared" si="10"/>
        <v>0.41924275327533955</v>
      </c>
      <c r="AB39">
        <f t="shared" si="11"/>
        <v>0.46182021494011138</v>
      </c>
      <c r="AC39" s="6">
        <f t="shared" si="13"/>
        <v>0.375</v>
      </c>
    </row>
    <row r="40" spans="1:29" x14ac:dyDescent="0.2">
      <c r="A40">
        <v>1955.3</v>
      </c>
      <c r="B40" s="2">
        <v>2233.36</v>
      </c>
      <c r="C40" s="2">
        <v>18.783000000000001</v>
      </c>
      <c r="D40" s="2">
        <v>261.10000000000002</v>
      </c>
      <c r="E40" s="2">
        <v>65.7</v>
      </c>
      <c r="F40" s="2">
        <v>62753.333333333336</v>
      </c>
      <c r="G40" s="2">
        <f t="shared" si="5"/>
        <v>52.843577285065081</v>
      </c>
      <c r="H40" s="2">
        <v>1.94</v>
      </c>
      <c r="I40" s="2">
        <v>109883.66666666667</v>
      </c>
      <c r="J40" s="2">
        <f t="shared" si="0"/>
        <v>0.56927364943625414</v>
      </c>
      <c r="K40" s="2">
        <v>113.5</v>
      </c>
      <c r="L40" s="2">
        <v>11.5</v>
      </c>
      <c r="N40" s="3">
        <f t="shared" si="1"/>
        <v>319.53453002716651</v>
      </c>
      <c r="O40" s="3">
        <f t="shared" si="2"/>
        <v>181.55407500571462</v>
      </c>
      <c r="P40" s="3">
        <f t="shared" si="3"/>
        <v>827.4656486936035</v>
      </c>
      <c r="Q40" s="3">
        <f t="shared" si="6"/>
        <v>465.7362858616749</v>
      </c>
      <c r="R40" s="3">
        <f t="shared" si="7"/>
        <v>0.74278269207890268</v>
      </c>
      <c r="S40" s="3">
        <f t="shared" si="8"/>
        <v>-49.060517006207881</v>
      </c>
      <c r="T40" s="3">
        <f t="shared" si="4"/>
        <v>0.48499999999999999</v>
      </c>
      <c r="V40">
        <f t="shared" si="14"/>
        <v>33</v>
      </c>
      <c r="W40">
        <f t="shared" si="9"/>
        <v>0.55984744055200508</v>
      </c>
      <c r="X40">
        <f t="shared" si="9"/>
        <v>2.3440922408192648</v>
      </c>
      <c r="Y40">
        <f t="shared" si="9"/>
        <v>1.0039386644949673</v>
      </c>
      <c r="Z40">
        <f t="shared" si="12"/>
        <v>3.8192187072966135</v>
      </c>
      <c r="AA40">
        <f t="shared" si="10"/>
        <v>0.74278269207890268</v>
      </c>
      <c r="AB40">
        <f t="shared" si="11"/>
        <v>0.13058530479658259</v>
      </c>
      <c r="AC40" s="6">
        <f t="shared" si="13"/>
        <v>0.48499999999999999</v>
      </c>
    </row>
    <row r="41" spans="1:29" x14ac:dyDescent="0.2">
      <c r="A41">
        <v>1955.4</v>
      </c>
      <c r="B41" s="2">
        <v>2245.337</v>
      </c>
      <c r="C41" s="2">
        <v>18.972999999999999</v>
      </c>
      <c r="D41" s="2">
        <v>265.10000000000002</v>
      </c>
      <c r="E41" s="2">
        <v>66.599999999999994</v>
      </c>
      <c r="F41" s="2">
        <v>63310.666666666664</v>
      </c>
      <c r="G41" s="2">
        <f t="shared" si="5"/>
        <v>53.312898761855841</v>
      </c>
      <c r="H41" s="2">
        <v>2.3566666666666669</v>
      </c>
      <c r="I41" s="2">
        <v>110186</v>
      </c>
      <c r="J41" s="2">
        <f t="shared" si="0"/>
        <v>0.57083994591355491</v>
      </c>
      <c r="K41" s="2">
        <v>113.8</v>
      </c>
      <c r="L41" s="2">
        <v>11.6</v>
      </c>
      <c r="N41" s="3">
        <f t="shared" si="1"/>
        <v>319.77366109118049</v>
      </c>
      <c r="O41" s="3">
        <f t="shared" si="2"/>
        <v>181.63340751631682</v>
      </c>
      <c r="P41" s="3">
        <f t="shared" si="3"/>
        <v>827.72573137681673</v>
      </c>
      <c r="Q41" s="3">
        <f t="shared" si="6"/>
        <v>466.60970541334433</v>
      </c>
      <c r="R41" s="3">
        <f t="shared" si="7"/>
        <v>1.0064710450713221</v>
      </c>
      <c r="S41" s="3">
        <f t="shared" si="8"/>
        <v>-49.201181776967765</v>
      </c>
      <c r="T41" s="3">
        <f t="shared" si="4"/>
        <v>0.58916666666666673</v>
      </c>
      <c r="V41">
        <f t="shared" si="14"/>
        <v>34</v>
      </c>
      <c r="W41">
        <f t="shared" si="9"/>
        <v>0.23913106401397499</v>
      </c>
      <c r="X41">
        <f t="shared" si="9"/>
        <v>7.9332510602199591E-2</v>
      </c>
      <c r="Y41">
        <f t="shared" si="9"/>
        <v>0.26008268321322703</v>
      </c>
      <c r="Z41">
        <f t="shared" si="12"/>
        <v>4.692638258966042</v>
      </c>
      <c r="AA41">
        <f t="shared" si="10"/>
        <v>1.0064710450713221</v>
      </c>
      <c r="AB41">
        <f t="shared" si="11"/>
        <v>-0.1406647707598836</v>
      </c>
      <c r="AC41" s="6">
        <f t="shared" si="13"/>
        <v>0.58916666666666673</v>
      </c>
    </row>
    <row r="42" spans="1:29" x14ac:dyDescent="0.2">
      <c r="A42">
        <v>1956.1</v>
      </c>
      <c r="B42" s="2">
        <v>2234.8330000000001</v>
      </c>
      <c r="C42" s="2">
        <v>19.164999999999999</v>
      </c>
      <c r="D42" s="2">
        <v>266.7</v>
      </c>
      <c r="E42" s="2">
        <v>66.599999999999994</v>
      </c>
      <c r="F42" s="2">
        <v>63560.666666666664</v>
      </c>
      <c r="G42" s="2">
        <f t="shared" si="5"/>
        <v>53.523419759220111</v>
      </c>
      <c r="H42" s="2">
        <v>2.4833333333333334</v>
      </c>
      <c r="I42" s="2">
        <v>110483.33333333333</v>
      </c>
      <c r="J42" s="2">
        <f t="shared" si="0"/>
        <v>0.5723803389209996</v>
      </c>
      <c r="K42" s="2">
        <v>113.4</v>
      </c>
      <c r="L42" s="2">
        <v>11.8</v>
      </c>
      <c r="N42" s="3">
        <f t="shared" si="1"/>
        <v>319.09903127410223</v>
      </c>
      <c r="O42" s="3">
        <f t="shared" si="2"/>
        <v>180.3570459099397</v>
      </c>
      <c r="P42" s="3">
        <f t="shared" si="3"/>
        <v>826.98733642835941</v>
      </c>
      <c r="Q42" s="3">
        <f t="shared" si="6"/>
        <v>466.38220963162036</v>
      </c>
      <c r="R42" s="3">
        <f t="shared" si="7"/>
        <v>1.0068782950521715</v>
      </c>
      <c r="S42" s="3">
        <f t="shared" si="8"/>
        <v>-48.498616736089929</v>
      </c>
      <c r="T42" s="3">
        <f t="shared" si="4"/>
        <v>0.62083333333333335</v>
      </c>
      <c r="V42">
        <f t="shared" si="14"/>
        <v>35</v>
      </c>
      <c r="W42">
        <f t="shared" si="9"/>
        <v>-0.6746298170782552</v>
      </c>
      <c r="X42">
        <f t="shared" si="9"/>
        <v>-1.2763616063771224</v>
      </c>
      <c r="Y42">
        <f t="shared" si="9"/>
        <v>-0.73839494845731224</v>
      </c>
      <c r="Z42">
        <f t="shared" si="12"/>
        <v>4.4651424772420683</v>
      </c>
      <c r="AA42">
        <f t="shared" si="10"/>
        <v>1.0068782950521715</v>
      </c>
      <c r="AB42">
        <f t="shared" si="11"/>
        <v>0.70256504087783611</v>
      </c>
      <c r="AC42" s="6">
        <f t="shared" si="13"/>
        <v>0.62083333333333335</v>
      </c>
    </row>
    <row r="43" spans="1:29" x14ac:dyDescent="0.2">
      <c r="A43">
        <v>1956.2</v>
      </c>
      <c r="B43" s="2">
        <v>2252.5039999999999</v>
      </c>
      <c r="C43" s="2">
        <v>19.276</v>
      </c>
      <c r="D43" s="2">
        <v>269.39999999999998</v>
      </c>
      <c r="E43" s="2">
        <v>67.8</v>
      </c>
      <c r="F43" s="2">
        <v>63765</v>
      </c>
      <c r="G43" s="2">
        <f t="shared" si="5"/>
        <v>53.69548558773252</v>
      </c>
      <c r="H43" s="2">
        <v>2.6933333333333334</v>
      </c>
      <c r="I43" s="2">
        <v>110787.66666666667</v>
      </c>
      <c r="J43" s="2">
        <f t="shared" si="0"/>
        <v>0.57395699678624279</v>
      </c>
      <c r="K43" s="2">
        <v>113</v>
      </c>
      <c r="L43" s="2">
        <v>12.1</v>
      </c>
      <c r="N43" s="3">
        <f t="shared" si="1"/>
        <v>319.25372691581447</v>
      </c>
      <c r="O43" s="3">
        <f t="shared" si="2"/>
        <v>181.29022001282306</v>
      </c>
      <c r="P43" s="3">
        <f t="shared" si="3"/>
        <v>827.49985692455448</v>
      </c>
      <c r="Q43" s="3">
        <f t="shared" si="6"/>
        <v>466.07473673976341</v>
      </c>
      <c r="R43" s="3">
        <f t="shared" si="7"/>
        <v>0.57750999455681296</v>
      </c>
      <c r="S43" s="3">
        <f t="shared" si="8"/>
        <v>-46.565534617539093</v>
      </c>
      <c r="T43" s="3">
        <f t="shared" si="4"/>
        <v>0.67333333333333334</v>
      </c>
      <c r="V43">
        <f t="shared" si="14"/>
        <v>36</v>
      </c>
      <c r="W43">
        <f t="shared" si="9"/>
        <v>0.15469564171223738</v>
      </c>
      <c r="X43">
        <f t="shared" si="9"/>
        <v>0.93317410288335623</v>
      </c>
      <c r="Y43">
        <f t="shared" si="9"/>
        <v>0.51252049619506579</v>
      </c>
      <c r="Z43">
        <f t="shared" si="12"/>
        <v>4.157669585385122</v>
      </c>
      <c r="AA43">
        <f t="shared" si="10"/>
        <v>0.57750999455681296</v>
      </c>
      <c r="AB43">
        <f t="shared" si="11"/>
        <v>1.9330821185508356</v>
      </c>
      <c r="AC43" s="6">
        <f t="shared" si="13"/>
        <v>0.67333333333333334</v>
      </c>
    </row>
    <row r="44" spans="1:29" x14ac:dyDescent="0.2">
      <c r="A44">
        <v>1956.3</v>
      </c>
      <c r="B44" s="2">
        <v>2249.7550000000001</v>
      </c>
      <c r="C44" s="2">
        <v>19.524000000000001</v>
      </c>
      <c r="D44" s="2">
        <v>272.60000000000002</v>
      </c>
      <c r="E44" s="2">
        <v>68.900000000000006</v>
      </c>
      <c r="F44" s="2">
        <v>63950.333333333336</v>
      </c>
      <c r="G44" s="2">
        <f t="shared" si="5"/>
        <v>53.851551820445245</v>
      </c>
      <c r="H44" s="2">
        <v>2.81</v>
      </c>
      <c r="I44" s="2">
        <v>111113.33333333333</v>
      </c>
      <c r="J44" s="2">
        <f t="shared" si="0"/>
        <v>0.57564417612287222</v>
      </c>
      <c r="K44" s="2">
        <v>113</v>
      </c>
      <c r="L44" s="2">
        <v>12.2</v>
      </c>
      <c r="N44" s="3">
        <f t="shared" si="1"/>
        <v>318.86266001964742</v>
      </c>
      <c r="O44" s="3">
        <f t="shared" si="2"/>
        <v>181.32772589536546</v>
      </c>
      <c r="P44" s="3">
        <f t="shared" si="3"/>
        <v>827.08421593396929</v>
      </c>
      <c r="Q44" s="3">
        <f t="shared" si="6"/>
        <v>466.07144123345387</v>
      </c>
      <c r="R44" s="3">
        <f t="shared" si="7"/>
        <v>1.2783679246814561</v>
      </c>
      <c r="S44" s="3">
        <f t="shared" si="8"/>
        <v>-47.020852628569024</v>
      </c>
      <c r="T44" s="3">
        <f t="shared" si="4"/>
        <v>0.70250000000000001</v>
      </c>
      <c r="V44">
        <f t="shared" si="14"/>
        <v>37</v>
      </c>
      <c r="W44">
        <f t="shared" si="9"/>
        <v>-0.39106689616704671</v>
      </c>
      <c r="X44">
        <f t="shared" si="9"/>
        <v>3.7505882542404834E-2</v>
      </c>
      <c r="Y44">
        <f t="shared" si="9"/>
        <v>-0.41564099058518877</v>
      </c>
      <c r="Z44">
        <f t="shared" si="12"/>
        <v>4.1543740790755805</v>
      </c>
      <c r="AA44">
        <f t="shared" si="10"/>
        <v>1.2783679246814561</v>
      </c>
      <c r="AB44">
        <f t="shared" si="11"/>
        <v>-0.45531801102993086</v>
      </c>
      <c r="AC44" s="6">
        <f t="shared" si="13"/>
        <v>0.70250000000000001</v>
      </c>
    </row>
    <row r="45" spans="1:29" x14ac:dyDescent="0.2">
      <c r="A45">
        <v>1956.4</v>
      </c>
      <c r="B45" s="2">
        <v>2286.4699999999998</v>
      </c>
      <c r="C45" s="2">
        <v>19.599</v>
      </c>
      <c r="D45" s="2">
        <v>278</v>
      </c>
      <c r="E45" s="2">
        <v>69</v>
      </c>
      <c r="F45" s="2">
        <v>63893.666666666664</v>
      </c>
      <c r="G45" s="2">
        <f t="shared" si="5"/>
        <v>53.803833727709339</v>
      </c>
      <c r="H45" s="2">
        <v>2.9266666666666663</v>
      </c>
      <c r="I45" s="2">
        <v>111431</v>
      </c>
      <c r="J45" s="2">
        <f t="shared" si="0"/>
        <v>0.57728990990773177</v>
      </c>
      <c r="K45" s="2">
        <v>113.2</v>
      </c>
      <c r="L45" s="2">
        <v>12.4</v>
      </c>
      <c r="N45" s="3">
        <f t="shared" si="1"/>
        <v>320.1553264306163</v>
      </c>
      <c r="O45" s="3">
        <f t="shared" si="2"/>
        <v>180.80386552127851</v>
      </c>
      <c r="P45" s="3">
        <f t="shared" si="3"/>
        <v>828.41751176644516</v>
      </c>
      <c r="Q45" s="3">
        <f t="shared" si="6"/>
        <v>465.87413984315413</v>
      </c>
      <c r="R45" s="3">
        <f t="shared" si="7"/>
        <v>0.38340665018221642</v>
      </c>
      <c r="S45" s="3">
        <f t="shared" si="8"/>
        <v>-45.778207191573173</v>
      </c>
      <c r="T45" s="3">
        <f t="shared" si="4"/>
        <v>0.73166666666666658</v>
      </c>
      <c r="V45">
        <f t="shared" si="14"/>
        <v>38</v>
      </c>
      <c r="W45">
        <f t="shared" si="9"/>
        <v>1.2926664109688772</v>
      </c>
      <c r="X45">
        <f t="shared" si="9"/>
        <v>-0.52386037408695074</v>
      </c>
      <c r="Y45">
        <f t="shared" si="9"/>
        <v>1.3332958324758692</v>
      </c>
      <c r="Z45">
        <f t="shared" si="12"/>
        <v>3.9570726887758383</v>
      </c>
      <c r="AA45">
        <f t="shared" si="10"/>
        <v>0.38340665018221642</v>
      </c>
      <c r="AB45">
        <f t="shared" si="11"/>
        <v>1.2426454369958506</v>
      </c>
      <c r="AC45" s="6">
        <f t="shared" si="13"/>
        <v>0.73166666666666658</v>
      </c>
    </row>
    <row r="46" spans="1:29" x14ac:dyDescent="0.2">
      <c r="A46">
        <v>1957.1</v>
      </c>
      <c r="B46" s="2">
        <v>2300.3119999999999</v>
      </c>
      <c r="C46" s="2">
        <v>19.876000000000001</v>
      </c>
      <c r="D46" s="2">
        <v>282.39999999999998</v>
      </c>
      <c r="E46" s="2">
        <v>69.599999999999994</v>
      </c>
      <c r="F46" s="2">
        <v>64097.666666666664</v>
      </c>
      <c r="G46" s="2">
        <f t="shared" si="5"/>
        <v>53.97561886155858</v>
      </c>
      <c r="H46" s="2">
        <v>2.9333333333333336</v>
      </c>
      <c r="I46" s="2">
        <v>111720.33333333333</v>
      </c>
      <c r="J46" s="2">
        <f t="shared" si="0"/>
        <v>0.57878885736340668</v>
      </c>
      <c r="K46" s="2">
        <v>112.8</v>
      </c>
      <c r="L46" s="2">
        <v>12.6</v>
      </c>
      <c r="N46" s="3">
        <f t="shared" si="1"/>
        <v>320.06290675617504</v>
      </c>
      <c r="O46" s="3">
        <f t="shared" si="2"/>
        <v>180.00691292830376</v>
      </c>
      <c r="P46" s="3">
        <f t="shared" si="3"/>
        <v>828.76175805739683</v>
      </c>
      <c r="Q46" s="3">
        <f t="shared" si="6"/>
        <v>465.57961308011755</v>
      </c>
      <c r="R46" s="3">
        <f t="shared" si="7"/>
        <v>1.4034429213351185</v>
      </c>
      <c r="S46" s="3">
        <f t="shared" si="8"/>
        <v>-45.581615978264182</v>
      </c>
      <c r="T46" s="3">
        <f t="shared" si="4"/>
        <v>0.73333333333333339</v>
      </c>
      <c r="V46">
        <f t="shared" si="14"/>
        <v>39</v>
      </c>
      <c r="W46">
        <f t="shared" si="9"/>
        <v>-9.2419674441259758E-2</v>
      </c>
      <c r="X46">
        <f t="shared" si="9"/>
        <v>-0.79695259297474763</v>
      </c>
      <c r="Y46">
        <f t="shared" si="9"/>
        <v>0.34424629095167347</v>
      </c>
      <c r="Z46">
        <f t="shared" si="12"/>
        <v>3.6625459257392663</v>
      </c>
      <c r="AA46">
        <f t="shared" si="10"/>
        <v>1.4034429213351185</v>
      </c>
      <c r="AB46">
        <f t="shared" si="11"/>
        <v>0.19659121330899154</v>
      </c>
      <c r="AC46" s="6">
        <f t="shared" si="13"/>
        <v>0.73333333333333339</v>
      </c>
    </row>
    <row r="47" spans="1:29" x14ac:dyDescent="0.2">
      <c r="A47">
        <v>1957.2</v>
      </c>
      <c r="B47" s="2">
        <v>2294.6179999999999</v>
      </c>
      <c r="C47" s="2">
        <v>20.012</v>
      </c>
      <c r="D47" s="2">
        <v>284.7</v>
      </c>
      <c r="E47" s="2">
        <v>69.3</v>
      </c>
      <c r="F47" s="2">
        <v>64076</v>
      </c>
      <c r="G47" s="2">
        <f t="shared" si="5"/>
        <v>53.95737370845368</v>
      </c>
      <c r="H47" s="2">
        <v>3</v>
      </c>
      <c r="I47" s="2">
        <v>112045.33333333333</v>
      </c>
      <c r="J47" s="2">
        <f t="shared" si="0"/>
        <v>0.58047258290405523</v>
      </c>
      <c r="K47" s="2">
        <v>112.1</v>
      </c>
      <c r="L47" s="2">
        <v>12.8</v>
      </c>
      <c r="N47" s="3">
        <f t="shared" si="1"/>
        <v>319.9016609757042</v>
      </c>
      <c r="O47" s="3">
        <f t="shared" si="2"/>
        <v>178.60255216689075</v>
      </c>
      <c r="P47" s="3">
        <f t="shared" si="3"/>
        <v>828.22343689377715</v>
      </c>
      <c r="Q47" s="3">
        <f t="shared" si="6"/>
        <v>464.63282122628232</v>
      </c>
      <c r="R47" s="3">
        <f t="shared" si="7"/>
        <v>0.68191198858844615</v>
      </c>
      <c r="S47" s="3">
        <f t="shared" si="8"/>
        <v>-44.688692270038715</v>
      </c>
      <c r="T47" s="3">
        <f t="shared" si="4"/>
        <v>0.75</v>
      </c>
      <c r="V47">
        <f t="shared" si="14"/>
        <v>40</v>
      </c>
      <c r="W47">
        <f t="shared" si="9"/>
        <v>-0.1612457804708356</v>
      </c>
      <c r="X47">
        <f t="shared" si="9"/>
        <v>-1.4043607614130167</v>
      </c>
      <c r="Y47">
        <f t="shared" si="9"/>
        <v>-0.53832116361968474</v>
      </c>
      <c r="Z47">
        <f t="shared" si="12"/>
        <v>2.7157540719040298</v>
      </c>
      <c r="AA47">
        <f t="shared" si="10"/>
        <v>0.68191198858844615</v>
      </c>
      <c r="AB47">
        <f t="shared" si="11"/>
        <v>0.89292370822546729</v>
      </c>
      <c r="AC47" s="6">
        <f t="shared" si="13"/>
        <v>0.75</v>
      </c>
    </row>
    <row r="48" spans="1:29" x14ac:dyDescent="0.2">
      <c r="A48">
        <v>1957.3</v>
      </c>
      <c r="B48" s="2">
        <v>2317.0010000000002</v>
      </c>
      <c r="C48" s="2">
        <v>20.131</v>
      </c>
      <c r="D48" s="2">
        <v>289.3</v>
      </c>
      <c r="E48" s="2">
        <v>70.400000000000006</v>
      </c>
      <c r="F48" s="2">
        <v>64206.666666666664</v>
      </c>
      <c r="G48" s="2">
        <f t="shared" si="5"/>
        <v>54.0674060164094</v>
      </c>
      <c r="H48" s="2">
        <v>3.2333333333333338</v>
      </c>
      <c r="I48" s="2">
        <v>112430.66666666667</v>
      </c>
      <c r="J48" s="2">
        <f t="shared" si="0"/>
        <v>0.58246887698096783</v>
      </c>
      <c r="K48" s="2">
        <v>111.8</v>
      </c>
      <c r="L48" s="2">
        <v>12.9</v>
      </c>
      <c r="N48" s="3">
        <f t="shared" si="1"/>
        <v>320.56828215107089</v>
      </c>
      <c r="O48" s="3">
        <f t="shared" si="2"/>
        <v>179.24118726926159</v>
      </c>
      <c r="P48" s="3">
        <f t="shared" si="3"/>
        <v>828.8508481070171</v>
      </c>
      <c r="Q48" s="3">
        <f t="shared" si="6"/>
        <v>464.22524274773809</v>
      </c>
      <c r="R48" s="3">
        <f t="shared" si="7"/>
        <v>0.59288218907327384</v>
      </c>
      <c r="S48" s="3">
        <f t="shared" si="8"/>
        <v>-44.503360414906481</v>
      </c>
      <c r="T48" s="3">
        <f t="shared" si="4"/>
        <v>0.80833333333333346</v>
      </c>
      <c r="V48">
        <f t="shared" si="14"/>
        <v>41</v>
      </c>
      <c r="W48">
        <f t="shared" si="9"/>
        <v>0.66662117536668575</v>
      </c>
      <c r="X48">
        <f t="shared" si="9"/>
        <v>0.63863510237084142</v>
      </c>
      <c r="Y48">
        <f t="shared" si="9"/>
        <v>0.6274112132399523</v>
      </c>
      <c r="Z48">
        <f t="shared" si="12"/>
        <v>2.308175593359806</v>
      </c>
      <c r="AA48">
        <f t="shared" si="10"/>
        <v>0.59288218907327384</v>
      </c>
      <c r="AB48">
        <f t="shared" si="11"/>
        <v>0.18533185513223316</v>
      </c>
      <c r="AC48" s="6">
        <f t="shared" si="13"/>
        <v>0.80833333333333346</v>
      </c>
    </row>
    <row r="49" spans="1:29" x14ac:dyDescent="0.2">
      <c r="A49">
        <v>1957.4</v>
      </c>
      <c r="B49" s="2">
        <v>2292.4589999999998</v>
      </c>
      <c r="C49" s="2">
        <v>20.132999999999999</v>
      </c>
      <c r="D49" s="2">
        <v>291</v>
      </c>
      <c r="E49" s="2">
        <v>69.400000000000006</v>
      </c>
      <c r="F49" s="2">
        <v>63879</v>
      </c>
      <c r="G49" s="2">
        <f t="shared" si="5"/>
        <v>53.791483162530632</v>
      </c>
      <c r="H49" s="2">
        <v>3.2533333333333334</v>
      </c>
      <c r="I49" s="2">
        <v>112865.66666666667</v>
      </c>
      <c r="J49" s="2">
        <f t="shared" si="0"/>
        <v>0.5847224788584513</v>
      </c>
      <c r="K49" s="2">
        <v>110.8</v>
      </c>
      <c r="L49" s="2">
        <v>13.1</v>
      </c>
      <c r="N49" s="3">
        <f t="shared" si="1"/>
        <v>320.75809467522822</v>
      </c>
      <c r="O49" s="3">
        <f t="shared" si="2"/>
        <v>177.41445470935483</v>
      </c>
      <c r="P49" s="3">
        <f t="shared" si="3"/>
        <v>827.39982589900228</v>
      </c>
      <c r="Q49" s="3">
        <f t="shared" si="6"/>
        <v>462.42896768570188</v>
      </c>
      <c r="R49" s="3">
        <f t="shared" si="7"/>
        <v>9.9344327520345388E-3</v>
      </c>
      <c r="S49" s="3">
        <f t="shared" si="8"/>
        <v>-42.974802963710601</v>
      </c>
      <c r="T49" s="3">
        <f t="shared" si="4"/>
        <v>0.81333333333333335</v>
      </c>
      <c r="V49">
        <f t="shared" si="14"/>
        <v>42</v>
      </c>
      <c r="W49">
        <f t="shared" si="9"/>
        <v>0.18981252415733252</v>
      </c>
      <c r="X49">
        <f t="shared" si="9"/>
        <v>-1.826732559906759</v>
      </c>
      <c r="Y49">
        <f t="shared" si="9"/>
        <v>-1.4510222080148196</v>
      </c>
      <c r="Z49">
        <f t="shared" si="12"/>
        <v>0.51190053132359026</v>
      </c>
      <c r="AA49">
        <f t="shared" si="10"/>
        <v>9.9344327520345388E-3</v>
      </c>
      <c r="AB49">
        <f t="shared" si="11"/>
        <v>1.5285574511958799</v>
      </c>
      <c r="AC49" s="6">
        <f t="shared" si="13"/>
        <v>0.81333333333333335</v>
      </c>
    </row>
    <row r="50" spans="1:29" x14ac:dyDescent="0.2">
      <c r="A50">
        <v>1958.1</v>
      </c>
      <c r="B50" s="2">
        <v>2230.2190000000001</v>
      </c>
      <c r="C50" s="2">
        <v>20.355</v>
      </c>
      <c r="D50" s="2">
        <v>290.5</v>
      </c>
      <c r="E50" s="2">
        <v>64.5</v>
      </c>
      <c r="F50" s="2">
        <v>62949.666666666664</v>
      </c>
      <c r="G50" s="2">
        <f t="shared" si="5"/>
        <v>53.008906441661821</v>
      </c>
      <c r="H50" s="2">
        <v>1.8633333333333335</v>
      </c>
      <c r="I50" s="2">
        <v>113236.33333333333</v>
      </c>
      <c r="J50" s="2">
        <f t="shared" si="0"/>
        <v>0.58664278942378589</v>
      </c>
      <c r="K50" s="2">
        <v>110.7</v>
      </c>
      <c r="L50" s="2">
        <v>13.1</v>
      </c>
      <c r="N50" s="3">
        <f t="shared" si="1"/>
        <v>319.16161746291539</v>
      </c>
      <c r="O50" s="3">
        <f t="shared" si="2"/>
        <v>168.66778221389146</v>
      </c>
      <c r="P50" s="3">
        <f t="shared" si="3"/>
        <v>824.31942462023994</v>
      </c>
      <c r="Q50" s="3">
        <f t="shared" si="6"/>
        <v>460.54527795216831</v>
      </c>
      <c r="R50" s="3">
        <f t="shared" si="7"/>
        <v>1.0966322110730342</v>
      </c>
      <c r="S50" s="3">
        <f t="shared" si="8"/>
        <v>-44.071435174783637</v>
      </c>
      <c r="T50" s="3">
        <f t="shared" si="4"/>
        <v>0.46583333333333338</v>
      </c>
      <c r="V50">
        <f t="shared" si="14"/>
        <v>43</v>
      </c>
      <c r="W50">
        <f t="shared" si="9"/>
        <v>-1.5964772123128341</v>
      </c>
      <c r="X50">
        <f t="shared" si="9"/>
        <v>-8.7466724954633719</v>
      </c>
      <c r="Y50">
        <f t="shared" si="9"/>
        <v>-3.0804012787623378</v>
      </c>
      <c r="Z50">
        <f t="shared" si="12"/>
        <v>-1.3717892022099818</v>
      </c>
      <c r="AA50">
        <f t="shared" si="10"/>
        <v>1.0966322110730342</v>
      </c>
      <c r="AB50">
        <f t="shared" si="11"/>
        <v>-1.096632211073036</v>
      </c>
      <c r="AC50" s="6">
        <f t="shared" si="13"/>
        <v>0.46583333333333338</v>
      </c>
    </row>
    <row r="51" spans="1:29" x14ac:dyDescent="0.2">
      <c r="A51">
        <v>1958.2</v>
      </c>
      <c r="B51" s="2">
        <v>2243.3739999999998</v>
      </c>
      <c r="C51" s="2">
        <v>20.419</v>
      </c>
      <c r="D51" s="2">
        <v>293.39999999999998</v>
      </c>
      <c r="E51" s="2">
        <v>63</v>
      </c>
      <c r="F51" s="2">
        <v>62745</v>
      </c>
      <c r="G51" s="2">
        <f t="shared" si="5"/>
        <v>52.836559918486273</v>
      </c>
      <c r="H51" s="2">
        <v>0.94</v>
      </c>
      <c r="I51" s="2">
        <v>113532</v>
      </c>
      <c r="J51" s="2">
        <f t="shared" si="0"/>
        <v>0.58817454794127855</v>
      </c>
      <c r="K51" s="2">
        <v>110.8</v>
      </c>
      <c r="L51" s="2">
        <v>13.3</v>
      </c>
      <c r="N51" s="3">
        <f t="shared" si="1"/>
        <v>319.58025506625393</v>
      </c>
      <c r="O51" s="3">
        <f t="shared" si="2"/>
        <v>165.74004113451906</v>
      </c>
      <c r="P51" s="3">
        <f t="shared" si="3"/>
        <v>824.64677864869464</v>
      </c>
      <c r="Q51" s="3">
        <f t="shared" si="6"/>
        <v>460.04914870164731</v>
      </c>
      <c r="R51" s="3">
        <f t="shared" si="7"/>
        <v>0.31392579859557124</v>
      </c>
      <c r="S51" s="3">
        <f t="shared" si="8"/>
        <v>-42.87018047131896</v>
      </c>
      <c r="T51" s="3">
        <f t="shared" si="4"/>
        <v>0.23499999999999999</v>
      </c>
      <c r="V51">
        <f t="shared" si="14"/>
        <v>44</v>
      </c>
      <c r="W51">
        <f t="shared" si="9"/>
        <v>0.41863760333853861</v>
      </c>
      <c r="X51">
        <f t="shared" si="9"/>
        <v>-2.9277410793723959</v>
      </c>
      <c r="Y51">
        <f t="shared" si="9"/>
        <v>0.32735402845469252</v>
      </c>
      <c r="Z51">
        <f t="shared" si="12"/>
        <v>-1.8679184527309758</v>
      </c>
      <c r="AA51">
        <f t="shared" si="10"/>
        <v>0.31392579859557124</v>
      </c>
      <c r="AB51">
        <f t="shared" si="11"/>
        <v>1.2012547034646772</v>
      </c>
      <c r="AC51" s="6">
        <f t="shared" si="13"/>
        <v>0.23499999999999999</v>
      </c>
    </row>
    <row r="52" spans="1:29" x14ac:dyDescent="0.2">
      <c r="A52">
        <v>1958.3</v>
      </c>
      <c r="B52" s="2">
        <v>2295.2069999999999</v>
      </c>
      <c r="C52" s="2">
        <v>20.553000000000001</v>
      </c>
      <c r="D52" s="2">
        <v>298.5</v>
      </c>
      <c r="E52" s="2">
        <v>63.9</v>
      </c>
      <c r="F52" s="2">
        <v>62979.333333333336</v>
      </c>
      <c r="G52" s="2">
        <f t="shared" si="5"/>
        <v>53.033888266682382</v>
      </c>
      <c r="H52" s="2">
        <v>1.3233333333333333</v>
      </c>
      <c r="I52" s="2">
        <v>113846.33333333333</v>
      </c>
      <c r="J52" s="2">
        <f t="shared" si="0"/>
        <v>0.58980301274623403</v>
      </c>
      <c r="K52" s="2">
        <v>111.3</v>
      </c>
      <c r="L52" s="2">
        <v>13.4</v>
      </c>
      <c r="N52" s="3">
        <f t="shared" si="1"/>
        <v>320.372969167669</v>
      </c>
      <c r="O52" s="3">
        <f t="shared" si="2"/>
        <v>166.22791202275226</v>
      </c>
      <c r="P52" s="3">
        <f t="shared" si="3"/>
        <v>826.65449890385605</v>
      </c>
      <c r="Q52" s="3">
        <f t="shared" si="6"/>
        <v>460.59568573067031</v>
      </c>
      <c r="R52" s="3">
        <f t="shared" si="7"/>
        <v>0.65410757479740234</v>
      </c>
      <c r="S52" s="3">
        <f t="shared" si="8"/>
        <v>-42.77522087320061</v>
      </c>
      <c r="T52" s="3">
        <f t="shared" si="4"/>
        <v>0.33083333333333331</v>
      </c>
      <c r="V52">
        <f t="shared" si="14"/>
        <v>45</v>
      </c>
      <c r="W52">
        <f t="shared" si="9"/>
        <v>0.79271410141507204</v>
      </c>
      <c r="X52">
        <f t="shared" si="9"/>
        <v>0.48787088823320346</v>
      </c>
      <c r="Y52">
        <f t="shared" si="9"/>
        <v>2.0077202551614164</v>
      </c>
      <c r="Z52">
        <f t="shared" si="12"/>
        <v>-1.321381423707976</v>
      </c>
      <c r="AA52">
        <f t="shared" si="10"/>
        <v>0.65410757479740234</v>
      </c>
      <c r="AB52">
        <f t="shared" si="11"/>
        <v>9.4959598118350641E-2</v>
      </c>
      <c r="AC52" s="6">
        <f t="shared" si="13"/>
        <v>0.33083333333333331</v>
      </c>
    </row>
    <row r="53" spans="1:29" x14ac:dyDescent="0.2">
      <c r="A53">
        <v>1958.4</v>
      </c>
      <c r="B53" s="2">
        <v>2348.0230000000001</v>
      </c>
      <c r="C53" s="2">
        <v>20.655999999999999</v>
      </c>
      <c r="D53" s="2">
        <v>302.3</v>
      </c>
      <c r="E53" s="2">
        <v>68</v>
      </c>
      <c r="F53" s="2">
        <v>63498</v>
      </c>
      <c r="G53" s="2">
        <f t="shared" si="5"/>
        <v>53.470649162547467</v>
      </c>
      <c r="H53" s="2">
        <v>2.1633333333333336</v>
      </c>
      <c r="I53" s="2">
        <v>114283.33333333333</v>
      </c>
      <c r="J53" s="2">
        <f t="shared" si="0"/>
        <v>0.59206697601165992</v>
      </c>
      <c r="K53" s="2">
        <v>111.9</v>
      </c>
      <c r="L53" s="2">
        <v>13.6</v>
      </c>
      <c r="N53" s="3">
        <f t="shared" si="1"/>
        <v>320.75495830237253</v>
      </c>
      <c r="O53" s="3">
        <f t="shared" si="2"/>
        <v>171.56373864144194</v>
      </c>
      <c r="P53" s="3">
        <f t="shared" si="3"/>
        <v>828.5464491813309</v>
      </c>
      <c r="Q53" s="3">
        <f t="shared" si="6"/>
        <v>461.57038342465847</v>
      </c>
      <c r="R53" s="3">
        <f t="shared" si="7"/>
        <v>0.4998918415414888</v>
      </c>
      <c r="S53" s="3">
        <f t="shared" si="8"/>
        <v>-41.793604136228033</v>
      </c>
      <c r="T53" s="3">
        <f t="shared" si="4"/>
        <v>0.54083333333333339</v>
      </c>
      <c r="V53">
        <f t="shared" si="14"/>
        <v>46</v>
      </c>
      <c r="W53">
        <f t="shared" si="9"/>
        <v>0.38198913470353091</v>
      </c>
      <c r="X53">
        <f t="shared" si="9"/>
        <v>5.3358266186896799</v>
      </c>
      <c r="Y53">
        <f t="shared" si="9"/>
        <v>1.891950277474848</v>
      </c>
      <c r="Z53">
        <f t="shared" si="12"/>
        <v>-0.34668372971981398</v>
      </c>
      <c r="AA53">
        <f t="shared" si="10"/>
        <v>0.4998918415414888</v>
      </c>
      <c r="AB53">
        <f t="shared" si="11"/>
        <v>0.98161673697257612</v>
      </c>
      <c r="AC53" s="6">
        <f t="shared" si="13"/>
        <v>0.54083333333333339</v>
      </c>
    </row>
    <row r="54" spans="1:29" x14ac:dyDescent="0.2">
      <c r="A54">
        <v>1959.1</v>
      </c>
      <c r="B54" s="2">
        <v>2392.886</v>
      </c>
      <c r="C54" s="2">
        <v>20.704000000000001</v>
      </c>
      <c r="D54" s="2">
        <v>310</v>
      </c>
      <c r="E54" s="2">
        <v>72.3</v>
      </c>
      <c r="F54" s="2">
        <v>63939.666666666664</v>
      </c>
      <c r="G54" s="2">
        <f t="shared" si="5"/>
        <v>53.842569591224368</v>
      </c>
      <c r="H54" s="2">
        <v>2.57</v>
      </c>
      <c r="I54" s="2">
        <v>114714.33333333333</v>
      </c>
      <c r="J54" s="2">
        <f t="shared" si="0"/>
        <v>0.59429985511325856</v>
      </c>
      <c r="K54" s="2">
        <v>112.2</v>
      </c>
      <c r="L54" s="2">
        <v>13.7</v>
      </c>
      <c r="N54" s="3">
        <f t="shared" si="1"/>
        <v>322.66166595641988</v>
      </c>
      <c r="O54" s="3">
        <f t="shared" si="2"/>
        <v>177.08684912497256</v>
      </c>
      <c r="P54" s="3">
        <f t="shared" si="3"/>
        <v>830.06267282301701</v>
      </c>
      <c r="Q54" s="3">
        <f t="shared" si="6"/>
        <v>462.15484981359339</v>
      </c>
      <c r="R54" s="3">
        <f t="shared" si="7"/>
        <v>0.2321084214203406</v>
      </c>
      <c r="S54" s="3">
        <f t="shared" si="8"/>
        <v>-41.29310854844109</v>
      </c>
      <c r="T54" s="3">
        <f t="shared" si="4"/>
        <v>0.64249999999999996</v>
      </c>
      <c r="V54">
        <f t="shared" si="14"/>
        <v>47</v>
      </c>
      <c r="W54">
        <f t="shared" si="9"/>
        <v>1.9067076540473522</v>
      </c>
      <c r="X54">
        <f t="shared" si="9"/>
        <v>5.5231104835306155</v>
      </c>
      <c r="Y54">
        <f t="shared" si="9"/>
        <v>1.5162236416861106</v>
      </c>
      <c r="Z54">
        <f t="shared" si="12"/>
        <v>0.23778265921509956</v>
      </c>
      <c r="AA54">
        <f t="shared" si="10"/>
        <v>0.2321084214203406</v>
      </c>
      <c r="AB54">
        <f t="shared" si="11"/>
        <v>0.50049558778694347</v>
      </c>
      <c r="AC54" s="6">
        <f t="shared" si="13"/>
        <v>0.64249999999999996</v>
      </c>
    </row>
    <row r="55" spans="1:29" x14ac:dyDescent="0.2">
      <c r="A55">
        <v>1959.2</v>
      </c>
      <c r="B55" s="2">
        <v>2455.8130000000001</v>
      </c>
      <c r="C55" s="2">
        <v>20.704000000000001</v>
      </c>
      <c r="D55" s="2">
        <v>316</v>
      </c>
      <c r="E55" s="2">
        <v>74.900000000000006</v>
      </c>
      <c r="F55" s="2">
        <v>64772</v>
      </c>
      <c r="G55" s="2">
        <f t="shared" si="5"/>
        <v>54.543464165115829</v>
      </c>
      <c r="H55" s="2">
        <v>3.0833333333333335</v>
      </c>
      <c r="I55" s="2">
        <v>115139</v>
      </c>
      <c r="J55" s="2">
        <f t="shared" si="0"/>
        <v>0.59649992315303935</v>
      </c>
      <c r="K55" s="2">
        <v>112.6</v>
      </c>
      <c r="L55" s="2">
        <v>13.8</v>
      </c>
      <c r="N55" s="3">
        <f t="shared" si="1"/>
        <v>324.20914615423715</v>
      </c>
      <c r="O55" s="3">
        <f t="shared" si="2"/>
        <v>180.25031384786331</v>
      </c>
      <c r="P55" s="3">
        <f t="shared" si="3"/>
        <v>832.28893125770344</v>
      </c>
      <c r="Q55" s="3">
        <f t="shared" si="6"/>
        <v>463.43455874372268</v>
      </c>
      <c r="R55" s="3">
        <f t="shared" si="7"/>
        <v>0</v>
      </c>
      <c r="S55" s="3">
        <f t="shared" si="8"/>
        <v>-40.565832615533104</v>
      </c>
      <c r="T55" s="3">
        <f t="shared" si="4"/>
        <v>0.77083333333333337</v>
      </c>
      <c r="V55">
        <f t="shared" si="14"/>
        <v>48</v>
      </c>
      <c r="W55">
        <f t="shared" si="9"/>
        <v>1.547480197817265</v>
      </c>
      <c r="X55">
        <f t="shared" si="9"/>
        <v>3.1634647228907511</v>
      </c>
      <c r="Y55">
        <f t="shared" si="9"/>
        <v>2.2262584346864287</v>
      </c>
      <c r="Z55">
        <f t="shared" si="12"/>
        <v>1.5174915893443881</v>
      </c>
      <c r="AA55">
        <f t="shared" si="10"/>
        <v>0</v>
      </c>
      <c r="AB55">
        <f t="shared" si="11"/>
        <v>0.72727593290798609</v>
      </c>
      <c r="AC55" s="6">
        <f t="shared" si="13"/>
        <v>0.77083333333333337</v>
      </c>
    </row>
    <row r="56" spans="1:29" x14ac:dyDescent="0.2">
      <c r="A56">
        <v>1959.3</v>
      </c>
      <c r="B56" s="2">
        <v>2453.9479999999999</v>
      </c>
      <c r="C56" s="2">
        <v>20.753</v>
      </c>
      <c r="D56" s="2">
        <v>321.2</v>
      </c>
      <c r="E56" s="2">
        <v>76.099999999999994</v>
      </c>
      <c r="F56" s="2">
        <v>64875</v>
      </c>
      <c r="G56" s="2">
        <f t="shared" si="5"/>
        <v>54.630198816029903</v>
      </c>
      <c r="H56" s="2">
        <v>3.5766666666666667</v>
      </c>
      <c r="I56" s="2">
        <v>115550.66666666667</v>
      </c>
      <c r="J56" s="2">
        <f t="shared" si="0"/>
        <v>0.59863264217119427</v>
      </c>
      <c r="K56" s="2">
        <v>112.3</v>
      </c>
      <c r="L56" s="2">
        <v>13.9</v>
      </c>
      <c r="N56" s="3">
        <f t="shared" si="1"/>
        <v>325.24803217260512</v>
      </c>
      <c r="O56" s="3">
        <f t="shared" si="2"/>
        <v>181.24646045210841</v>
      </c>
      <c r="P56" s="3">
        <f t="shared" si="3"/>
        <v>831.85605893452635</v>
      </c>
      <c r="Q56" s="3">
        <f t="shared" si="6"/>
        <v>462.969765166988</v>
      </c>
      <c r="R56" s="3">
        <f t="shared" si="7"/>
        <v>0.23638962210328351</v>
      </c>
      <c r="S56" s="3">
        <f t="shared" si="8"/>
        <v>-40.080197440287705</v>
      </c>
      <c r="T56" s="3">
        <f t="shared" si="4"/>
        <v>0.89416666666666667</v>
      </c>
      <c r="V56">
        <f t="shared" si="14"/>
        <v>49</v>
      </c>
      <c r="W56">
        <f t="shared" si="9"/>
        <v>1.0388860183679753</v>
      </c>
      <c r="X56">
        <f t="shared" si="9"/>
        <v>0.99614660424509793</v>
      </c>
      <c r="Y56">
        <f t="shared" si="9"/>
        <v>-0.43287232317709368</v>
      </c>
      <c r="Z56">
        <f t="shared" si="12"/>
        <v>1.0526980126097101</v>
      </c>
      <c r="AA56">
        <f t="shared" si="10"/>
        <v>0.23638962210328351</v>
      </c>
      <c r="AB56">
        <f t="shared" si="11"/>
        <v>0.4856351752453989</v>
      </c>
      <c r="AC56" s="6">
        <f t="shared" si="13"/>
        <v>0.89416666666666667</v>
      </c>
    </row>
    <row r="57" spans="1:29" x14ac:dyDescent="0.2">
      <c r="A57">
        <v>1959.4</v>
      </c>
      <c r="B57" s="2">
        <v>2462.587</v>
      </c>
      <c r="C57" s="2">
        <v>20.84</v>
      </c>
      <c r="D57" s="2">
        <v>323.3</v>
      </c>
      <c r="E57" s="2">
        <v>75.2</v>
      </c>
      <c r="F57" s="2">
        <v>64927.333333333336</v>
      </c>
      <c r="G57" s="2">
        <f t="shared" si="5"/>
        <v>54.674267878144832</v>
      </c>
      <c r="H57" s="2">
        <v>3.99</v>
      </c>
      <c r="I57" s="2">
        <v>115918</v>
      </c>
      <c r="J57" s="2">
        <f t="shared" si="0"/>
        <v>0.60053568375662481</v>
      </c>
      <c r="K57" s="2">
        <v>112</v>
      </c>
      <c r="L57" s="2">
        <v>14.1</v>
      </c>
      <c r="N57" s="3">
        <f t="shared" si="1"/>
        <v>325.16396836656196</v>
      </c>
      <c r="O57" s="3">
        <f t="shared" si="2"/>
        <v>179.32102298900264</v>
      </c>
      <c r="P57" s="3">
        <f t="shared" si="3"/>
        <v>831.8900918190792</v>
      </c>
      <c r="Q57" s="3">
        <f t="shared" si="6"/>
        <v>462.46550771678443</v>
      </c>
      <c r="R57" s="3">
        <f t="shared" si="7"/>
        <v>0.41834023456432945</v>
      </c>
      <c r="S57" s="3">
        <f t="shared" si="8"/>
        <v>-39.069941950104351</v>
      </c>
      <c r="T57" s="3">
        <f t="shared" si="4"/>
        <v>0.99750000000000005</v>
      </c>
      <c r="V57">
        <f t="shared" si="14"/>
        <v>50</v>
      </c>
      <c r="W57">
        <f t="shared" si="9"/>
        <v>-8.4063806043161549E-2</v>
      </c>
      <c r="X57">
        <f t="shared" si="9"/>
        <v>-1.9254374631057658</v>
      </c>
      <c r="Y57">
        <f t="shared" si="9"/>
        <v>3.4032884552857467E-2</v>
      </c>
      <c r="Z57">
        <f t="shared" si="12"/>
        <v>0.54844056240614236</v>
      </c>
      <c r="AA57">
        <f t="shared" si="10"/>
        <v>0.41834023456432945</v>
      </c>
      <c r="AB57">
        <f t="shared" si="11"/>
        <v>1.0102554901833543</v>
      </c>
      <c r="AC57" s="6">
        <f t="shared" si="13"/>
        <v>0.99750000000000005</v>
      </c>
    </row>
    <row r="58" spans="1:29" x14ac:dyDescent="0.2">
      <c r="A58">
        <v>1960.1</v>
      </c>
      <c r="B58" s="2">
        <v>2517.3649999999998</v>
      </c>
      <c r="C58" s="2">
        <v>20.931000000000001</v>
      </c>
      <c r="D58" s="2">
        <v>326.89999999999998</v>
      </c>
      <c r="E58" s="2">
        <v>77.900000000000006</v>
      </c>
      <c r="F58" s="2">
        <v>65213.333333333336</v>
      </c>
      <c r="G58" s="2">
        <f t="shared" si="5"/>
        <v>54.915103899129569</v>
      </c>
      <c r="H58" s="2">
        <v>3.9333333333333336</v>
      </c>
      <c r="I58" s="2">
        <v>116707.66666666667</v>
      </c>
      <c r="J58" s="2">
        <f t="shared" si="0"/>
        <v>0.60462670509590333</v>
      </c>
      <c r="K58" s="2">
        <v>111.7</v>
      </c>
      <c r="L58" s="2">
        <v>14.4</v>
      </c>
      <c r="N58" s="3">
        <f t="shared" si="1"/>
        <v>325.15670278595968</v>
      </c>
      <c r="O58" s="3">
        <f t="shared" si="2"/>
        <v>181.73386670061348</v>
      </c>
      <c r="P58" s="3">
        <f t="shared" si="3"/>
        <v>833.41120262819004</v>
      </c>
      <c r="Q58" s="3">
        <f t="shared" si="6"/>
        <v>461.95789750793057</v>
      </c>
      <c r="R58" s="3">
        <f t="shared" si="7"/>
        <v>0.43570967400428096</v>
      </c>
      <c r="S58" s="3">
        <f t="shared" si="8"/>
        <v>-37.400310704325435</v>
      </c>
      <c r="T58" s="3">
        <f t="shared" si="4"/>
        <v>0.98333333333333339</v>
      </c>
      <c r="V58">
        <f t="shared" si="14"/>
        <v>51</v>
      </c>
      <c r="W58">
        <f t="shared" si="9"/>
        <v>-7.2655806022794422E-3</v>
      </c>
      <c r="X58">
        <f t="shared" si="9"/>
        <v>2.412843711610833</v>
      </c>
      <c r="Y58">
        <f t="shared" si="9"/>
        <v>1.5211108091108372</v>
      </c>
      <c r="Z58">
        <f t="shared" si="12"/>
        <v>4.0830353552280485E-2</v>
      </c>
      <c r="AA58">
        <f t="shared" si="10"/>
        <v>0.43570967400428096</v>
      </c>
      <c r="AB58">
        <f t="shared" si="11"/>
        <v>1.6696312457789162</v>
      </c>
      <c r="AC58" s="6">
        <f t="shared" si="13"/>
        <v>0.98333333333333339</v>
      </c>
    </row>
    <row r="59" spans="1:29" x14ac:dyDescent="0.2">
      <c r="A59">
        <v>1960.2</v>
      </c>
      <c r="B59" s="2">
        <v>2504.8000000000002</v>
      </c>
      <c r="C59" s="2">
        <v>21.004000000000001</v>
      </c>
      <c r="D59" s="2">
        <v>332.7</v>
      </c>
      <c r="E59" s="2">
        <v>76.5</v>
      </c>
      <c r="F59" s="2">
        <v>66061.333333333328</v>
      </c>
      <c r="G59" s="2">
        <f t="shared" si="5"/>
        <v>55.629191122189191</v>
      </c>
      <c r="H59" s="2">
        <v>3.6966666666666668</v>
      </c>
      <c r="I59" s="2">
        <v>117036.66666666667</v>
      </c>
      <c r="J59" s="2">
        <f t="shared" si="0"/>
        <v>0.60633115341243682</v>
      </c>
      <c r="K59" s="2">
        <v>111.8</v>
      </c>
      <c r="L59" s="2">
        <v>14.4</v>
      </c>
      <c r="N59" s="3">
        <f t="shared" si="1"/>
        <v>326.28572716390215</v>
      </c>
      <c r="O59" s="3">
        <f t="shared" si="2"/>
        <v>179.29068294470807</v>
      </c>
      <c r="P59" s="3">
        <f t="shared" si="3"/>
        <v>832.62931544024002</v>
      </c>
      <c r="Q59" s="3">
        <f t="shared" si="6"/>
        <v>463.05784427880309</v>
      </c>
      <c r="R59" s="3">
        <f t="shared" si="7"/>
        <v>0.34815821504037281</v>
      </c>
      <c r="S59" s="3">
        <f t="shared" si="8"/>
        <v>-37.748468919365799</v>
      </c>
      <c r="T59" s="3">
        <f t="shared" si="4"/>
        <v>0.92416666666666669</v>
      </c>
      <c r="V59">
        <f t="shared" si="14"/>
        <v>52</v>
      </c>
      <c r="W59">
        <f t="shared" si="9"/>
        <v>1.1290243779424713</v>
      </c>
      <c r="X59">
        <f t="shared" si="9"/>
        <v>-2.4431837559054088</v>
      </c>
      <c r="Y59">
        <f t="shared" si="9"/>
        <v>-0.78188718795001932</v>
      </c>
      <c r="Z59">
        <f t="shared" si="12"/>
        <v>1.1407771244248011</v>
      </c>
      <c r="AA59">
        <f t="shared" si="10"/>
        <v>0.34815821504037281</v>
      </c>
      <c r="AB59">
        <f t="shared" si="11"/>
        <v>-0.34815821504036393</v>
      </c>
      <c r="AC59" s="6">
        <f t="shared" si="13"/>
        <v>0.92416666666666669</v>
      </c>
    </row>
    <row r="60" spans="1:29" x14ac:dyDescent="0.2">
      <c r="A60">
        <v>1960.3</v>
      </c>
      <c r="B60" s="2">
        <v>2508.7260000000001</v>
      </c>
      <c r="C60" s="2">
        <v>21.084</v>
      </c>
      <c r="D60" s="2">
        <v>332.7</v>
      </c>
      <c r="E60" s="2">
        <v>74.400000000000006</v>
      </c>
      <c r="F60" s="2">
        <v>66023.666666666672</v>
      </c>
      <c r="G60" s="2">
        <f t="shared" si="5"/>
        <v>55.597472625252976</v>
      </c>
      <c r="H60" s="2">
        <v>2.936666666666667</v>
      </c>
      <c r="I60" s="2">
        <v>117411</v>
      </c>
      <c r="J60" s="2">
        <f t="shared" si="0"/>
        <v>0.60827045985566586</v>
      </c>
      <c r="K60" s="2">
        <v>111.9</v>
      </c>
      <c r="L60" s="2">
        <v>14.5</v>
      </c>
      <c r="N60" s="3">
        <f t="shared" si="1"/>
        <v>325.58623846684026</v>
      </c>
      <c r="O60" s="3">
        <f t="shared" si="2"/>
        <v>175.80771434830177</v>
      </c>
      <c r="P60" s="3">
        <f t="shared" si="3"/>
        <v>832.46659941845303</v>
      </c>
      <c r="Q60" s="3">
        <f t="shared" si="6"/>
        <v>462.77088338097423</v>
      </c>
      <c r="R60" s="3">
        <f t="shared" si="7"/>
        <v>0.38015632173475922</v>
      </c>
      <c r="S60" s="3">
        <f t="shared" si="8"/>
        <v>-37.436580956643169</v>
      </c>
      <c r="T60" s="3">
        <f t="shared" si="4"/>
        <v>0.73416666666666675</v>
      </c>
      <c r="V60">
        <f t="shared" si="14"/>
        <v>53</v>
      </c>
      <c r="W60">
        <f t="shared" si="9"/>
        <v>-0.69948869706189498</v>
      </c>
      <c r="X60">
        <f t="shared" si="9"/>
        <v>-3.4829685964062946</v>
      </c>
      <c r="Y60">
        <f t="shared" si="9"/>
        <v>-0.1627160217869914</v>
      </c>
      <c r="Z60">
        <f t="shared" si="12"/>
        <v>0.85381622659593859</v>
      </c>
      <c r="AA60">
        <f t="shared" si="10"/>
        <v>0.38015632173475922</v>
      </c>
      <c r="AB60">
        <f t="shared" si="11"/>
        <v>0.3118879627226292</v>
      </c>
      <c r="AC60" s="6">
        <f t="shared" si="13"/>
        <v>0.73416666666666675</v>
      </c>
    </row>
    <row r="61" spans="1:29" x14ac:dyDescent="0.2">
      <c r="A61">
        <v>1960.4</v>
      </c>
      <c r="B61" s="2">
        <v>2476.232</v>
      </c>
      <c r="C61" s="2">
        <v>21.146000000000001</v>
      </c>
      <c r="D61" s="2">
        <v>334.6</v>
      </c>
      <c r="E61" s="2">
        <v>73.900000000000006</v>
      </c>
      <c r="F61" s="2">
        <v>65839.666666666672</v>
      </c>
      <c r="G61" s="2">
        <f t="shared" si="5"/>
        <v>55.442529171192866</v>
      </c>
      <c r="H61" s="2">
        <v>2.2966666666666669</v>
      </c>
      <c r="I61" s="2">
        <v>117824.33333333333</v>
      </c>
      <c r="J61" s="2">
        <f t="shared" si="0"/>
        <v>0.6104118133637727</v>
      </c>
      <c r="K61" s="2">
        <v>111.5</v>
      </c>
      <c r="L61" s="2">
        <v>14.6</v>
      </c>
      <c r="N61" s="3">
        <f t="shared" si="1"/>
        <v>325.51064719622417</v>
      </c>
      <c r="O61" s="3">
        <f t="shared" si="2"/>
        <v>174.48835113636741</v>
      </c>
      <c r="P61" s="3">
        <f t="shared" si="3"/>
        <v>830.81147746501608</v>
      </c>
      <c r="Q61" s="3">
        <f t="shared" si="6"/>
        <v>461.78228244440351</v>
      </c>
      <c r="R61" s="3">
        <f t="shared" si="7"/>
        <v>0.2936303317374378</v>
      </c>
      <c r="S61" s="3">
        <f t="shared" si="8"/>
        <v>-37.042923359604416</v>
      </c>
      <c r="T61" s="3">
        <f t="shared" si="4"/>
        <v>0.57416666666666671</v>
      </c>
      <c r="V61">
        <f t="shared" si="14"/>
        <v>54</v>
      </c>
      <c r="W61">
        <f t="shared" si="9"/>
        <v>-7.5591270616087058E-2</v>
      </c>
      <c r="X61">
        <f t="shared" si="9"/>
        <v>-1.319363211934359</v>
      </c>
      <c r="Y61">
        <f t="shared" si="9"/>
        <v>-1.6551219534369466</v>
      </c>
      <c r="Z61">
        <f t="shared" si="12"/>
        <v>-0.13478470997478098</v>
      </c>
      <c r="AA61">
        <f t="shared" si="10"/>
        <v>0.2936303317374378</v>
      </c>
      <c r="AB61">
        <f t="shared" si="11"/>
        <v>0.39365759703875369</v>
      </c>
      <c r="AC61" s="6">
        <f t="shared" si="13"/>
        <v>0.57416666666666671</v>
      </c>
    </row>
    <row r="62" spans="1:29" x14ac:dyDescent="0.2">
      <c r="A62">
        <v>1961.1</v>
      </c>
      <c r="B62" s="2">
        <v>2491.154</v>
      </c>
      <c r="C62" s="2">
        <v>21.192</v>
      </c>
      <c r="D62" s="2">
        <v>335.1</v>
      </c>
      <c r="E62" s="2">
        <v>72.8</v>
      </c>
      <c r="F62" s="2">
        <v>65738</v>
      </c>
      <c r="G62" s="2">
        <f t="shared" si="5"/>
        <v>55.356917298931393</v>
      </c>
      <c r="H62" s="2">
        <v>2.0033333333333334</v>
      </c>
      <c r="I62" s="2">
        <v>118254.33333333333</v>
      </c>
      <c r="J62" s="2">
        <f t="shared" si="0"/>
        <v>0.61263951177140008</v>
      </c>
      <c r="K62" s="2">
        <v>111.3</v>
      </c>
      <c r="L62" s="2">
        <v>14.7</v>
      </c>
      <c r="N62" s="3">
        <f t="shared" si="1"/>
        <v>325.07838309527301</v>
      </c>
      <c r="O62" s="3">
        <f t="shared" si="2"/>
        <v>172.40707914121057</v>
      </c>
      <c r="P62" s="3">
        <f t="shared" si="3"/>
        <v>831.04799240916986</v>
      </c>
      <c r="Q62" s="3">
        <f t="shared" si="6"/>
        <v>461.08392856024795</v>
      </c>
      <c r="R62" s="3">
        <f t="shared" si="7"/>
        <v>0.21729896594337994</v>
      </c>
      <c r="S62" s="3">
        <f t="shared" si="8"/>
        <v>-36.577625818507812</v>
      </c>
      <c r="T62" s="3">
        <f t="shared" si="4"/>
        <v>0.50083333333333335</v>
      </c>
      <c r="V62">
        <f t="shared" si="14"/>
        <v>55</v>
      </c>
      <c r="W62">
        <f t="shared" si="9"/>
        <v>-0.43226410095115853</v>
      </c>
      <c r="X62">
        <f t="shared" si="9"/>
        <v>-2.0812719951568397</v>
      </c>
      <c r="Y62">
        <f t="shared" si="9"/>
        <v>0.23651494415378238</v>
      </c>
      <c r="Z62">
        <f t="shared" si="12"/>
        <v>-0.83313859413033242</v>
      </c>
      <c r="AA62">
        <f t="shared" si="10"/>
        <v>0.21729896594337994</v>
      </c>
      <c r="AB62">
        <f t="shared" si="11"/>
        <v>0.4652975410966036</v>
      </c>
      <c r="AC62" s="6">
        <f t="shared" si="13"/>
        <v>0.50083333333333335</v>
      </c>
    </row>
    <row r="63" spans="1:29" x14ac:dyDescent="0.2">
      <c r="A63">
        <v>1961.2</v>
      </c>
      <c r="B63" s="2">
        <v>2537.9810000000002</v>
      </c>
      <c r="C63" s="2">
        <v>21.236999999999998</v>
      </c>
      <c r="D63" s="2">
        <v>340.1</v>
      </c>
      <c r="E63" s="2">
        <v>74</v>
      </c>
      <c r="F63" s="2">
        <v>65605.333333333328</v>
      </c>
      <c r="G63" s="2">
        <f t="shared" si="5"/>
        <v>55.245200822996743</v>
      </c>
      <c r="H63" s="2">
        <v>1.7333333333333332</v>
      </c>
      <c r="I63" s="2">
        <v>118636</v>
      </c>
      <c r="J63" s="2">
        <f t="shared" si="0"/>
        <v>0.61461680997041823</v>
      </c>
      <c r="K63" s="2">
        <v>111.2</v>
      </c>
      <c r="L63" s="2">
        <v>14.9</v>
      </c>
      <c r="N63" s="3">
        <f t="shared" si="1"/>
        <v>326.02510271382255</v>
      </c>
      <c r="O63" s="3">
        <f t="shared" si="2"/>
        <v>173.50764283292449</v>
      </c>
      <c r="P63" s="3">
        <f t="shared" si="3"/>
        <v>832.58804406219349</v>
      </c>
      <c r="Q63" s="3">
        <f t="shared" si="6"/>
        <v>460.46979481065017</v>
      </c>
      <c r="R63" s="3">
        <f t="shared" si="7"/>
        <v>0.21211914903931373</v>
      </c>
      <c r="S63" s="3">
        <f t="shared" si="8"/>
        <v>-35.43837305087483</v>
      </c>
      <c r="T63" s="3">
        <f t="shared" si="4"/>
        <v>0.43333333333333329</v>
      </c>
      <c r="V63">
        <f t="shared" si="14"/>
        <v>56</v>
      </c>
      <c r="W63">
        <f t="shared" si="9"/>
        <v>0.94671961854953679</v>
      </c>
      <c r="X63">
        <f t="shared" si="9"/>
        <v>1.1005636917139157</v>
      </c>
      <c r="Y63">
        <f t="shared" si="9"/>
        <v>1.5400516530236246</v>
      </c>
      <c r="Z63">
        <f t="shared" si="12"/>
        <v>-1.4472723437281161</v>
      </c>
      <c r="AA63">
        <f t="shared" si="10"/>
        <v>0.21211914903931373</v>
      </c>
      <c r="AB63">
        <f t="shared" si="11"/>
        <v>1.139252767632982</v>
      </c>
      <c r="AC63" s="6">
        <f t="shared" si="13"/>
        <v>0.43333333333333329</v>
      </c>
    </row>
    <row r="64" spans="1:29" x14ac:dyDescent="0.2">
      <c r="A64">
        <v>1961.3</v>
      </c>
      <c r="B64" s="2">
        <v>2579.114</v>
      </c>
      <c r="C64" s="2">
        <v>21.303000000000001</v>
      </c>
      <c r="D64" s="2">
        <v>343</v>
      </c>
      <c r="E64" s="2">
        <v>75.7</v>
      </c>
      <c r="F64" s="2">
        <v>65667</v>
      </c>
      <c r="G64" s="2">
        <f t="shared" si="5"/>
        <v>55.297129335679941</v>
      </c>
      <c r="H64" s="2">
        <v>1.6833333333333333</v>
      </c>
      <c r="I64" s="2">
        <v>119000.66666666667</v>
      </c>
      <c r="J64" s="2">
        <f t="shared" si="0"/>
        <v>0.61650603637192547</v>
      </c>
      <c r="K64" s="2">
        <v>111.3</v>
      </c>
      <c r="L64" s="2">
        <v>15</v>
      </c>
      <c r="N64" s="3">
        <f t="shared" si="1"/>
        <v>326.25697043660034</v>
      </c>
      <c r="O64" s="3">
        <f t="shared" si="2"/>
        <v>175.16174176434666</v>
      </c>
      <c r="P64" s="3">
        <f t="shared" si="3"/>
        <v>833.88883731520696</v>
      </c>
      <c r="Q64" s="3">
        <f t="shared" si="6"/>
        <v>460.3467233795219</v>
      </c>
      <c r="R64" s="3">
        <f t="shared" si="7"/>
        <v>0.31029644079043628</v>
      </c>
      <c r="S64" s="3">
        <f t="shared" si="8"/>
        <v>-35.079770676585625</v>
      </c>
      <c r="T64" s="3">
        <f t="shared" si="4"/>
        <v>0.42083333333333334</v>
      </c>
      <c r="V64">
        <f t="shared" si="14"/>
        <v>57</v>
      </c>
      <c r="W64">
        <f t="shared" si="9"/>
        <v>0.23186772277779255</v>
      </c>
      <c r="X64">
        <f t="shared" si="9"/>
        <v>1.654098931422169</v>
      </c>
      <c r="Y64">
        <f t="shared" si="9"/>
        <v>1.3007932530134667</v>
      </c>
      <c r="Z64">
        <f t="shared" si="12"/>
        <v>-1.5703437748563829</v>
      </c>
      <c r="AA64">
        <f t="shared" si="10"/>
        <v>0.31029644079043628</v>
      </c>
      <c r="AB64">
        <f t="shared" si="11"/>
        <v>0.35860237428920527</v>
      </c>
      <c r="AC64" s="6">
        <f t="shared" si="13"/>
        <v>0.42083333333333334</v>
      </c>
    </row>
    <row r="65" spans="1:29" x14ac:dyDescent="0.2">
      <c r="A65">
        <v>1961.4</v>
      </c>
      <c r="B65" s="2">
        <v>2631.8310000000001</v>
      </c>
      <c r="C65" s="2">
        <v>21.375</v>
      </c>
      <c r="D65" s="2">
        <v>350.3</v>
      </c>
      <c r="E65" s="2">
        <v>78.2</v>
      </c>
      <c r="F65" s="2">
        <v>65966.666666666672</v>
      </c>
      <c r="G65" s="2">
        <f t="shared" si="5"/>
        <v>55.549473837853924</v>
      </c>
      <c r="H65" s="2">
        <v>2.4</v>
      </c>
      <c r="I65" s="2">
        <v>119189.66666666667</v>
      </c>
      <c r="J65" s="2">
        <f t="shared" si="0"/>
        <v>0.61748518753248727</v>
      </c>
      <c r="K65" s="2">
        <v>111.8</v>
      </c>
      <c r="L65" s="2">
        <v>15.1</v>
      </c>
      <c r="N65" s="3">
        <f t="shared" si="1"/>
        <v>327.8668113949974</v>
      </c>
      <c r="O65" s="3">
        <f t="shared" si="2"/>
        <v>177.91478312977981</v>
      </c>
      <c r="P65" s="3">
        <f t="shared" si="3"/>
        <v>835.75352792265892</v>
      </c>
      <c r="Q65" s="3">
        <f t="shared" si="6"/>
        <v>461.09156174772289</v>
      </c>
      <c r="R65" s="3">
        <f t="shared" si="7"/>
        <v>0.33741069547579272</v>
      </c>
      <c r="S65" s="3">
        <f t="shared" si="8"/>
        <v>-34.752727100194534</v>
      </c>
      <c r="T65" s="3">
        <f t="shared" si="4"/>
        <v>0.6</v>
      </c>
      <c r="V65">
        <f t="shared" si="14"/>
        <v>58</v>
      </c>
      <c r="W65">
        <f t="shared" si="9"/>
        <v>1.6098409583970579</v>
      </c>
      <c r="X65">
        <f t="shared" si="9"/>
        <v>2.7530413654331483</v>
      </c>
      <c r="Y65">
        <f t="shared" si="9"/>
        <v>1.864690607451962</v>
      </c>
      <c r="Z65">
        <f t="shared" si="12"/>
        <v>-0.82550540665539529</v>
      </c>
      <c r="AA65">
        <f t="shared" si="10"/>
        <v>0.33741069547579272</v>
      </c>
      <c r="AB65">
        <f t="shared" si="11"/>
        <v>0.32704357639109105</v>
      </c>
      <c r="AC65" s="6">
        <f t="shared" si="13"/>
        <v>0.6</v>
      </c>
    </row>
    <row r="66" spans="1:29" x14ac:dyDescent="0.2">
      <c r="A66">
        <v>1962.1</v>
      </c>
      <c r="B66" s="2">
        <v>2679.1489999999999</v>
      </c>
      <c r="C66" s="2">
        <v>21.501000000000001</v>
      </c>
      <c r="D66" s="2">
        <v>355.6</v>
      </c>
      <c r="E66" s="2">
        <v>80</v>
      </c>
      <c r="F66" s="2">
        <v>66379.666666666672</v>
      </c>
      <c r="G66" s="2">
        <f t="shared" si="5"/>
        <v>55.897254525499704</v>
      </c>
      <c r="H66" s="2">
        <v>2.4566666666666666</v>
      </c>
      <c r="I66" s="2">
        <v>119378.66666666667</v>
      </c>
      <c r="J66" s="2">
        <f t="shared" si="0"/>
        <v>0.61846433869304906</v>
      </c>
      <c r="K66" s="2">
        <v>111.5</v>
      </c>
      <c r="L66" s="2">
        <v>15.4</v>
      </c>
      <c r="N66" s="3">
        <f t="shared" si="1"/>
        <v>328.62228045032526</v>
      </c>
      <c r="O66" s="3">
        <f t="shared" si="2"/>
        <v>179.44429355373845</v>
      </c>
      <c r="P66" s="3">
        <f t="shared" si="3"/>
        <v>837.37702323092162</v>
      </c>
      <c r="Q66" s="3">
        <f t="shared" si="6"/>
        <v>461.28854163764021</v>
      </c>
      <c r="R66" s="3">
        <f t="shared" si="7"/>
        <v>0.58774308570677114</v>
      </c>
      <c r="S66" s="3">
        <f t="shared" si="8"/>
        <v>-33.37319362603084</v>
      </c>
      <c r="T66" s="3">
        <f t="shared" si="4"/>
        <v>0.61416666666666664</v>
      </c>
      <c r="V66">
        <f t="shared" si="14"/>
        <v>59</v>
      </c>
      <c r="W66">
        <f t="shared" si="9"/>
        <v>0.75546905532786468</v>
      </c>
      <c r="X66">
        <f t="shared" si="9"/>
        <v>1.5295104239586408</v>
      </c>
      <c r="Y66">
        <f t="shared" si="9"/>
        <v>1.6234953082627044</v>
      </c>
      <c r="Z66">
        <f t="shared" si="12"/>
        <v>-0.62852551673807966</v>
      </c>
      <c r="AA66">
        <f t="shared" si="10"/>
        <v>0.58774308570677114</v>
      </c>
      <c r="AB66">
        <f t="shared" si="11"/>
        <v>1.3795334741636935</v>
      </c>
      <c r="AC66" s="6">
        <f t="shared" si="13"/>
        <v>0.61416666666666664</v>
      </c>
    </row>
    <row r="67" spans="1:29" x14ac:dyDescent="0.2">
      <c r="A67">
        <v>1962.2</v>
      </c>
      <c r="B67" s="2">
        <v>2708.404</v>
      </c>
      <c r="C67" s="2">
        <v>21.533000000000001</v>
      </c>
      <c r="D67" s="2">
        <v>361.2</v>
      </c>
      <c r="E67" s="2">
        <v>82.5</v>
      </c>
      <c r="F67" s="2">
        <v>66576.666666666672</v>
      </c>
      <c r="G67" s="2">
        <f t="shared" si="5"/>
        <v>56.06314507142276</v>
      </c>
      <c r="H67" s="2">
        <v>2.6066666666666669</v>
      </c>
      <c r="I67" s="2">
        <v>119819.33333333333</v>
      </c>
      <c r="J67" s="2">
        <f t="shared" si="0"/>
        <v>0.6207472978363695</v>
      </c>
      <c r="K67" s="2">
        <v>112</v>
      </c>
      <c r="L67" s="2">
        <v>15.5</v>
      </c>
      <c r="N67" s="3">
        <f t="shared" si="1"/>
        <v>329.66763870843295</v>
      </c>
      <c r="O67" s="3">
        <f t="shared" si="2"/>
        <v>182.00428588821347</v>
      </c>
      <c r="P67" s="3">
        <f t="shared" si="3"/>
        <v>838.09460181630925</v>
      </c>
      <c r="Q67" s="3">
        <f t="shared" si="6"/>
        <v>461.66385390164987</v>
      </c>
      <c r="R67" s="3">
        <f t="shared" si="7"/>
        <v>0.14871964445792862</v>
      </c>
      <c r="S67" s="3">
        <f t="shared" si="8"/>
        <v>-32.874661819927013</v>
      </c>
      <c r="T67" s="3">
        <f t="shared" si="4"/>
        <v>0.65166666666666673</v>
      </c>
      <c r="V67">
        <f t="shared" si="14"/>
        <v>60</v>
      </c>
      <c r="W67">
        <f t="shared" si="9"/>
        <v>1.045358258107683</v>
      </c>
      <c r="X67">
        <f t="shared" si="9"/>
        <v>2.5599923344750266</v>
      </c>
      <c r="Y67">
        <f t="shared" si="9"/>
        <v>0.71757858538762775</v>
      </c>
      <c r="Z67">
        <f t="shared" si="12"/>
        <v>-0.25321325272841477</v>
      </c>
      <c r="AA67">
        <f t="shared" si="10"/>
        <v>0.14871964445792862</v>
      </c>
      <c r="AB67">
        <f t="shared" si="11"/>
        <v>0.49853180610382708</v>
      </c>
      <c r="AC67" s="6">
        <f t="shared" si="13"/>
        <v>0.65166666666666673</v>
      </c>
    </row>
    <row r="68" spans="1:29" x14ac:dyDescent="0.2">
      <c r="A68">
        <v>1962.3</v>
      </c>
      <c r="B68" s="2">
        <v>2733.3389999999999</v>
      </c>
      <c r="C68" s="2">
        <v>21.585000000000001</v>
      </c>
      <c r="D68" s="2">
        <v>365.1</v>
      </c>
      <c r="E68" s="2">
        <v>83.1</v>
      </c>
      <c r="F68" s="2">
        <v>66881</v>
      </c>
      <c r="G68" s="2">
        <f t="shared" si="5"/>
        <v>56.319419298880867</v>
      </c>
      <c r="H68" s="2">
        <v>2.8466666666666671</v>
      </c>
      <c r="I68" s="2">
        <v>120368</v>
      </c>
      <c r="J68" s="2">
        <f t="shared" si="0"/>
        <v>0.62358977192858234</v>
      </c>
      <c r="K68" s="2">
        <v>111.9</v>
      </c>
      <c r="L68" s="2">
        <v>15.6</v>
      </c>
      <c r="N68" s="3">
        <f t="shared" si="1"/>
        <v>330.04352032411475</v>
      </c>
      <c r="O68" s="3">
        <f t="shared" si="2"/>
        <v>182.03086164409589</v>
      </c>
      <c r="P68" s="3">
        <f t="shared" si="3"/>
        <v>838.5541761339814</v>
      </c>
      <c r="Q68" s="3">
        <f t="shared" si="6"/>
        <v>461.57373739691138</v>
      </c>
      <c r="R68" s="3">
        <f t="shared" si="7"/>
        <v>0.2411986882969952</v>
      </c>
      <c r="S68" s="3">
        <f t="shared" si="8"/>
        <v>-32.472771475194961</v>
      </c>
      <c r="T68" s="3">
        <f t="shared" si="4"/>
        <v>0.71166666666666678</v>
      </c>
      <c r="V68">
        <f t="shared" si="14"/>
        <v>61</v>
      </c>
      <c r="W68">
        <f t="shared" si="9"/>
        <v>0.37588161568180567</v>
      </c>
      <c r="X68">
        <f t="shared" si="9"/>
        <v>2.6575755882419116E-2</v>
      </c>
      <c r="Y68">
        <f t="shared" si="9"/>
        <v>0.45957431767214985</v>
      </c>
      <c r="Z68">
        <f t="shared" si="12"/>
        <v>-0.34332975746690408</v>
      </c>
      <c r="AA68">
        <f t="shared" si="10"/>
        <v>0.2411986882969952</v>
      </c>
      <c r="AB68">
        <f t="shared" si="11"/>
        <v>0.40189034473205254</v>
      </c>
      <c r="AC68" s="6">
        <f t="shared" si="13"/>
        <v>0.71166666666666678</v>
      </c>
    </row>
    <row r="69" spans="1:29" x14ac:dyDescent="0.2">
      <c r="A69">
        <v>1962.4</v>
      </c>
      <c r="B69" s="2">
        <v>2740.0140000000001</v>
      </c>
      <c r="C69" s="2">
        <v>21.652999999999999</v>
      </c>
      <c r="D69" s="2">
        <v>371.3</v>
      </c>
      <c r="E69" s="2">
        <v>82.6</v>
      </c>
      <c r="F69" s="2">
        <v>66969.333333333328</v>
      </c>
      <c r="G69" s="2">
        <f t="shared" si="5"/>
        <v>56.393803384616248</v>
      </c>
      <c r="H69" s="2">
        <v>2.9233333333333333</v>
      </c>
      <c r="I69" s="2">
        <v>121045.66666666667</v>
      </c>
      <c r="J69" s="2">
        <f t="shared" si="0"/>
        <v>0.62710055554308353</v>
      </c>
      <c r="K69" s="2">
        <v>111.5</v>
      </c>
      <c r="L69" s="2">
        <v>15.7</v>
      </c>
      <c r="N69" s="3">
        <f t="shared" si="1"/>
        <v>330.85147237461007</v>
      </c>
      <c r="O69" s="3">
        <f t="shared" si="2"/>
        <v>180.55140430899985</v>
      </c>
      <c r="P69" s="3">
        <f t="shared" si="3"/>
        <v>838.23666843993328</v>
      </c>
      <c r="Q69" s="3">
        <f t="shared" si="6"/>
        <v>460.78620638541787</v>
      </c>
      <c r="R69" s="3">
        <f t="shared" si="7"/>
        <v>0.31453839707116238</v>
      </c>
      <c r="S69" s="3">
        <f t="shared" si="8"/>
        <v>-32.148330062389029</v>
      </c>
      <c r="T69" s="3">
        <f t="shared" si="4"/>
        <v>0.73083333333333333</v>
      </c>
      <c r="V69">
        <f t="shared" si="14"/>
        <v>62</v>
      </c>
      <c r="W69">
        <f t="shared" si="9"/>
        <v>0.8079520504953166</v>
      </c>
      <c r="X69">
        <f t="shared" si="9"/>
        <v>-1.4794573350960434</v>
      </c>
      <c r="Y69">
        <f t="shared" si="9"/>
        <v>-0.31750769404811763</v>
      </c>
      <c r="Z69">
        <f t="shared" si="12"/>
        <v>-1.1308607689604173</v>
      </c>
      <c r="AA69">
        <f t="shared" si="10"/>
        <v>0.31453839707116238</v>
      </c>
      <c r="AB69">
        <f t="shared" si="11"/>
        <v>0.32444141280593186</v>
      </c>
      <c r="AC69" s="6">
        <f t="shared" si="13"/>
        <v>0.73083333333333333</v>
      </c>
    </row>
    <row r="70" spans="1:29" x14ac:dyDescent="0.2">
      <c r="A70">
        <v>1963.1</v>
      </c>
      <c r="B70" s="2">
        <v>2775.944</v>
      </c>
      <c r="C70" s="2">
        <v>21.702000000000002</v>
      </c>
      <c r="D70" s="2">
        <v>374.9</v>
      </c>
      <c r="E70" s="2">
        <v>83.6</v>
      </c>
      <c r="F70" s="2">
        <v>67149</v>
      </c>
      <c r="G70" s="2">
        <f t="shared" ref="G70:G133" si="15">F70/F$188*100</f>
        <v>56.545097808055381</v>
      </c>
      <c r="H70" s="2">
        <v>2.9666666666666668</v>
      </c>
      <c r="I70" s="2">
        <v>121640</v>
      </c>
      <c r="J70" s="2">
        <f t="shared" ref="J70:J133" si="16">I70/I$188</f>
        <v>0.6301796146599824</v>
      </c>
      <c r="K70" s="2">
        <v>111.6</v>
      </c>
      <c r="L70" s="2">
        <v>15.9</v>
      </c>
      <c r="N70" s="3">
        <f t="shared" ref="N70:N133" si="17">LN((D70/C70)/J70)*100</f>
        <v>331.10052991395492</v>
      </c>
      <c r="O70" s="3">
        <f t="shared" ref="O70:O133" si="18">LN((E70/C70)/J70)*100</f>
        <v>181.0389495488339</v>
      </c>
      <c r="P70" s="3">
        <f t="shared" ref="P70:P133" si="19">LN(B70/J70)*100</f>
        <v>839.04965461082566</v>
      </c>
      <c r="Q70" s="3">
        <f t="shared" ref="Q70:Q133" si="20">LN((K70*G70/100)/J70)*100</f>
        <v>460.65397726149689</v>
      </c>
      <c r="R70" s="3">
        <f t="shared" si="7"/>
        <v>0.22604092198634795</v>
      </c>
      <c r="S70" s="3">
        <f t="shared" ref="S70:S133" si="21">LN(L70/C70)*100</f>
        <v>-31.108531297183013</v>
      </c>
      <c r="T70" s="3">
        <f t="shared" ref="T70:T133" si="22">H70/4</f>
        <v>0.7416666666666667</v>
      </c>
      <c r="V70">
        <f t="shared" si="14"/>
        <v>63</v>
      </c>
      <c r="W70">
        <f t="shared" si="9"/>
        <v>0.24905753934484665</v>
      </c>
      <c r="X70">
        <f t="shared" si="9"/>
        <v>0.48754523983404852</v>
      </c>
      <c r="Y70">
        <f t="shared" si="9"/>
        <v>0.81298617089237268</v>
      </c>
      <c r="Z70">
        <f t="shared" si="12"/>
        <v>-1.2630898928813963</v>
      </c>
      <c r="AA70">
        <f t="shared" si="10"/>
        <v>0.22604092198634795</v>
      </c>
      <c r="AB70">
        <f t="shared" si="11"/>
        <v>1.0397987652060152</v>
      </c>
      <c r="AC70" s="6">
        <f t="shared" si="13"/>
        <v>0.7416666666666667</v>
      </c>
    </row>
    <row r="71" spans="1:29" x14ac:dyDescent="0.2">
      <c r="A71">
        <v>1963.2</v>
      </c>
      <c r="B71" s="2">
        <v>2810.598</v>
      </c>
      <c r="C71" s="2">
        <v>21.745000000000001</v>
      </c>
      <c r="D71" s="2">
        <v>379</v>
      </c>
      <c r="E71" s="2">
        <v>87.3</v>
      </c>
      <c r="F71" s="2">
        <v>67635.333333333328</v>
      </c>
      <c r="G71" s="2">
        <f t="shared" si="15"/>
        <v>56.954631321594675</v>
      </c>
      <c r="H71" s="2">
        <v>2.9633333333333334</v>
      </c>
      <c r="I71" s="2">
        <v>122166.66666666667</v>
      </c>
      <c r="J71" s="2">
        <f t="shared" si="16"/>
        <v>0.63290811348482834</v>
      </c>
      <c r="K71" s="2">
        <v>111.8</v>
      </c>
      <c r="L71" s="2">
        <v>16</v>
      </c>
      <c r="N71" s="3">
        <f t="shared" si="17"/>
        <v>331.55823867790912</v>
      </c>
      <c r="O71" s="3">
        <f t="shared" si="18"/>
        <v>184.73966445422212</v>
      </c>
      <c r="P71" s="3">
        <f t="shared" si="19"/>
        <v>839.85825788208274</v>
      </c>
      <c r="Q71" s="3">
        <f t="shared" si="20"/>
        <v>461.12264116575165</v>
      </c>
      <c r="R71" s="3">
        <f t="shared" ref="R71:R134" si="23">(LN(C71)-LN(C70))*100</f>
        <v>0.1979423851585782</v>
      </c>
      <c r="S71" s="3">
        <f t="shared" si="21"/>
        <v>-30.679512380982054</v>
      </c>
      <c r="T71" s="3">
        <f t="shared" si="22"/>
        <v>0.74083333333333334</v>
      </c>
      <c r="V71">
        <f t="shared" si="14"/>
        <v>64</v>
      </c>
      <c r="W71">
        <f t="shared" si="9"/>
        <v>0.45770876395420146</v>
      </c>
      <c r="X71">
        <f t="shared" si="9"/>
        <v>3.7007149053882245</v>
      </c>
      <c r="Y71">
        <f t="shared" si="9"/>
        <v>0.80860327125708409</v>
      </c>
      <c r="Z71">
        <f t="shared" si="12"/>
        <v>-0.79442598862664227</v>
      </c>
      <c r="AA71">
        <f t="shared" si="10"/>
        <v>0.1979423851585782</v>
      </c>
      <c r="AB71">
        <f t="shared" si="11"/>
        <v>0.42901891620095967</v>
      </c>
      <c r="AC71" s="6">
        <f t="shared" si="13"/>
        <v>0.74083333333333334</v>
      </c>
    </row>
    <row r="72" spans="1:29" x14ac:dyDescent="0.2">
      <c r="A72">
        <v>1963.3</v>
      </c>
      <c r="B72" s="2">
        <v>2863.5120000000002</v>
      </c>
      <c r="C72" s="2">
        <v>21.788</v>
      </c>
      <c r="D72" s="2">
        <v>386</v>
      </c>
      <c r="E72" s="2">
        <v>89.3</v>
      </c>
      <c r="F72" s="2">
        <v>67995.666666666672</v>
      </c>
      <c r="G72" s="2">
        <f t="shared" si="15"/>
        <v>57.258062252462395</v>
      </c>
      <c r="H72" s="2">
        <v>3.33</v>
      </c>
      <c r="I72" s="2">
        <v>122669.66666666667</v>
      </c>
      <c r="J72" s="2">
        <f t="shared" si="16"/>
        <v>0.63551400255235524</v>
      </c>
      <c r="K72" s="2">
        <v>111.5</v>
      </c>
      <c r="L72" s="2">
        <v>16.100000000000001</v>
      </c>
      <c r="N72" s="3">
        <f t="shared" si="17"/>
        <v>332.77991646247614</v>
      </c>
      <c r="O72" s="3">
        <f t="shared" si="18"/>
        <v>186.39632830423835</v>
      </c>
      <c r="P72" s="3">
        <f t="shared" si="19"/>
        <v>841.31252771822358</v>
      </c>
      <c r="Q72" s="3">
        <f t="shared" si="20"/>
        <v>460.97440174833497</v>
      </c>
      <c r="R72" s="3">
        <f t="shared" si="23"/>
        <v>0.19755134718262291</v>
      </c>
      <c r="S72" s="3">
        <f t="shared" si="21"/>
        <v>-30.254008753101068</v>
      </c>
      <c r="T72" s="3">
        <f t="shared" si="22"/>
        <v>0.83250000000000002</v>
      </c>
      <c r="V72">
        <f t="shared" si="14"/>
        <v>65</v>
      </c>
      <c r="W72">
        <f t="shared" ref="W72:Y135" si="24">N72-N71</f>
        <v>1.2216777845670208</v>
      </c>
      <c r="X72">
        <f t="shared" si="24"/>
        <v>1.6566638500162298</v>
      </c>
      <c r="Y72">
        <f t="shared" si="24"/>
        <v>1.4542698361408384</v>
      </c>
      <c r="Z72">
        <f t="shared" ref="Z72:Z135" si="25">Q72-Q$239</f>
        <v>-0.94266540604331794</v>
      </c>
      <c r="AA72">
        <f t="shared" ref="AA72:AA135" si="26">R72</f>
        <v>0.19755134718262291</v>
      </c>
      <c r="AB72">
        <f t="shared" ref="AB72:AB135" si="27">S72-S71</f>
        <v>0.42550362788098539</v>
      </c>
      <c r="AC72" s="6">
        <f t="shared" ref="AC72:AC135" si="28">T72</f>
        <v>0.83250000000000002</v>
      </c>
    </row>
    <row r="73" spans="1:29" x14ac:dyDescent="0.2">
      <c r="A73">
        <v>1963.4</v>
      </c>
      <c r="B73" s="2">
        <v>2885.7959999999998</v>
      </c>
      <c r="C73" s="2">
        <v>21.951000000000001</v>
      </c>
      <c r="D73" s="2">
        <v>390.7</v>
      </c>
      <c r="E73" s="2">
        <v>92.3</v>
      </c>
      <c r="F73" s="2">
        <v>68258</v>
      </c>
      <c r="G73" s="2">
        <f t="shared" si="15"/>
        <v>57.47896895236331</v>
      </c>
      <c r="H73" s="2">
        <v>3.4533333333333331</v>
      </c>
      <c r="I73" s="2">
        <v>123188.66666666667</v>
      </c>
      <c r="J73" s="2">
        <f t="shared" si="16"/>
        <v>0.63820278272342179</v>
      </c>
      <c r="K73" s="2">
        <v>111.8</v>
      </c>
      <c r="L73" s="2">
        <v>16.3</v>
      </c>
      <c r="N73" s="3">
        <f t="shared" si="17"/>
        <v>332.822651036992</v>
      </c>
      <c r="O73" s="3">
        <f t="shared" si="18"/>
        <v>188.53306498177017</v>
      </c>
      <c r="P73" s="3">
        <f t="shared" si="19"/>
        <v>841.66552556436511</v>
      </c>
      <c r="Q73" s="3">
        <f t="shared" si="20"/>
        <v>461.20597031593729</v>
      </c>
      <c r="R73" s="3">
        <f t="shared" si="23"/>
        <v>0.74533370485743156</v>
      </c>
      <c r="S73" s="3">
        <f t="shared" si="21"/>
        <v>-29.764758875728592</v>
      </c>
      <c r="T73" s="3">
        <f t="shared" si="22"/>
        <v>0.86333333333333329</v>
      </c>
      <c r="V73">
        <f t="shared" si="14"/>
        <v>66</v>
      </c>
      <c r="W73">
        <f t="shared" si="24"/>
        <v>4.2734574515861823E-2</v>
      </c>
      <c r="X73">
        <f t="shared" si="24"/>
        <v>2.1367366775318146</v>
      </c>
      <c r="Y73">
        <f t="shared" si="24"/>
        <v>0.35299784614153396</v>
      </c>
      <c r="Z73">
        <f t="shared" si="25"/>
        <v>-0.71109683844099436</v>
      </c>
      <c r="AA73">
        <f t="shared" si="26"/>
        <v>0.74533370485743156</v>
      </c>
      <c r="AB73">
        <f t="shared" si="27"/>
        <v>0.48924987737247605</v>
      </c>
      <c r="AC73" s="6">
        <f t="shared" si="28"/>
        <v>0.86333333333333329</v>
      </c>
    </row>
    <row r="74" spans="1:29" x14ac:dyDescent="0.2">
      <c r="A74">
        <v>1964.1</v>
      </c>
      <c r="B74" s="2">
        <v>2950.49</v>
      </c>
      <c r="C74" s="2">
        <v>22.015999999999998</v>
      </c>
      <c r="D74" s="2">
        <v>400.3</v>
      </c>
      <c r="E74" s="2">
        <v>95.5</v>
      </c>
      <c r="F74" s="2">
        <v>68613.666666666672</v>
      </c>
      <c r="G74" s="2">
        <f t="shared" si="15"/>
        <v>57.778470157946892</v>
      </c>
      <c r="H74" s="2">
        <v>3.4633333333333334</v>
      </c>
      <c r="I74" s="2">
        <v>123708</v>
      </c>
      <c r="J74" s="2">
        <f t="shared" si="16"/>
        <v>0.64089328979247862</v>
      </c>
      <c r="K74" s="2">
        <v>112.9</v>
      </c>
      <c r="L74" s="2">
        <v>16.3</v>
      </c>
      <c r="N74" s="3">
        <f t="shared" si="17"/>
        <v>334.53371147502099</v>
      </c>
      <c r="O74" s="3">
        <f t="shared" si="18"/>
        <v>191.22490962383668</v>
      </c>
      <c r="P74" s="3">
        <f t="shared" si="19"/>
        <v>843.4618847738036</v>
      </c>
      <c r="Q74" s="3">
        <f t="shared" si="20"/>
        <v>462.28408133405196</v>
      </c>
      <c r="R74" s="3">
        <f t="shared" si="23"/>
        <v>0.29567651809307982</v>
      </c>
      <c r="S74" s="3">
        <f t="shared" si="21"/>
        <v>-30.060435393821638</v>
      </c>
      <c r="T74" s="3">
        <f t="shared" si="22"/>
        <v>0.86583333333333334</v>
      </c>
      <c r="V74">
        <f t="shared" ref="V74:V137" si="29">V73+1</f>
        <v>67</v>
      </c>
      <c r="W74">
        <f t="shared" si="24"/>
        <v>1.7110604380289942</v>
      </c>
      <c r="X74">
        <f t="shared" si="24"/>
        <v>2.6918446420665134</v>
      </c>
      <c r="Y74">
        <f t="shared" si="24"/>
        <v>1.7963592094384921</v>
      </c>
      <c r="Z74">
        <f t="shared" si="25"/>
        <v>0.36701417967367433</v>
      </c>
      <c r="AA74">
        <f t="shared" si="26"/>
        <v>0.29567651809307982</v>
      </c>
      <c r="AB74">
        <f t="shared" si="27"/>
        <v>-0.29567651809304607</v>
      </c>
      <c r="AC74" s="6">
        <f t="shared" si="28"/>
        <v>0.86583333333333334</v>
      </c>
    </row>
    <row r="75" spans="1:29" x14ac:dyDescent="0.2">
      <c r="A75">
        <v>1964.2</v>
      </c>
      <c r="B75" s="2">
        <v>2984.7510000000002</v>
      </c>
      <c r="C75" s="2">
        <v>22.073</v>
      </c>
      <c r="D75" s="2">
        <v>408.3</v>
      </c>
      <c r="E75" s="2">
        <v>96.1</v>
      </c>
      <c r="F75" s="2">
        <v>69401.666666666672</v>
      </c>
      <c r="G75" s="2">
        <f t="shared" si="15"/>
        <v>58.442032341639091</v>
      </c>
      <c r="H75" s="2">
        <v>3.49</v>
      </c>
      <c r="I75" s="2">
        <v>124203</v>
      </c>
      <c r="J75" s="2">
        <f t="shared" si="16"/>
        <v>0.64345773330823575</v>
      </c>
      <c r="K75" s="2">
        <v>113.2</v>
      </c>
      <c r="L75" s="2">
        <v>16.5</v>
      </c>
      <c r="N75" s="3">
        <f t="shared" si="17"/>
        <v>335.85459927742852</v>
      </c>
      <c r="O75" s="3">
        <f t="shared" si="18"/>
        <v>191.19331104250023</v>
      </c>
      <c r="P75" s="3">
        <f t="shared" si="19"/>
        <v>844.2170541869707</v>
      </c>
      <c r="Q75" s="3">
        <f t="shared" si="20"/>
        <v>463.29202792176068</v>
      </c>
      <c r="R75" s="3">
        <f t="shared" si="23"/>
        <v>0.25856804081416662</v>
      </c>
      <c r="S75" s="3">
        <f t="shared" si="21"/>
        <v>-29.099476125253975</v>
      </c>
      <c r="T75" s="3">
        <f t="shared" si="22"/>
        <v>0.87250000000000005</v>
      </c>
      <c r="V75">
        <f t="shared" si="29"/>
        <v>68</v>
      </c>
      <c r="W75">
        <f t="shared" si="24"/>
        <v>1.3208878024075261</v>
      </c>
      <c r="X75">
        <f t="shared" si="24"/>
        <v>-3.1598581336453435E-2</v>
      </c>
      <c r="Y75">
        <f t="shared" si="24"/>
        <v>0.75516941316709563</v>
      </c>
      <c r="Z75">
        <f t="shared" si="25"/>
        <v>1.3749607673823903</v>
      </c>
      <c r="AA75">
        <f t="shared" si="26"/>
        <v>0.25856804081416662</v>
      </c>
      <c r="AB75">
        <f t="shared" si="27"/>
        <v>0.96095926856766312</v>
      </c>
      <c r="AC75" s="6">
        <f t="shared" si="28"/>
        <v>0.87250000000000005</v>
      </c>
    </row>
    <row r="76" spans="1:29" x14ac:dyDescent="0.2">
      <c r="A76">
        <v>1964.3</v>
      </c>
      <c r="B76" s="2">
        <v>3025.4920000000002</v>
      </c>
      <c r="C76" s="2">
        <v>22.16</v>
      </c>
      <c r="D76" s="2">
        <v>417.2</v>
      </c>
      <c r="E76" s="2">
        <v>97.8</v>
      </c>
      <c r="F76" s="2">
        <v>69480</v>
      </c>
      <c r="G76" s="2">
        <f t="shared" si="15"/>
        <v>58.507995587479897</v>
      </c>
      <c r="H76" s="2">
        <v>3.456666666666667</v>
      </c>
      <c r="I76" s="2">
        <v>124739.33333333333</v>
      </c>
      <c r="J76" s="2">
        <f t="shared" si="16"/>
        <v>0.64623631217480348</v>
      </c>
      <c r="K76" s="2">
        <v>112.9</v>
      </c>
      <c r="L76" s="2">
        <v>16.7</v>
      </c>
      <c r="N76" s="3">
        <f t="shared" si="17"/>
        <v>337.18668950184917</v>
      </c>
      <c r="O76" s="3">
        <f t="shared" si="18"/>
        <v>192.12257489326456</v>
      </c>
      <c r="P76" s="3">
        <f t="shared" si="19"/>
        <v>845.14190356387951</v>
      </c>
      <c r="Q76" s="3">
        <f t="shared" si="20"/>
        <v>462.70857405459401</v>
      </c>
      <c r="R76" s="3">
        <f t="shared" si="23"/>
        <v>0.39337197200079999</v>
      </c>
      <c r="S76" s="3">
        <f t="shared" si="21"/>
        <v>-28.28801424563737</v>
      </c>
      <c r="T76" s="3">
        <f t="shared" si="22"/>
        <v>0.86416666666666675</v>
      </c>
      <c r="V76">
        <f t="shared" si="29"/>
        <v>69</v>
      </c>
      <c r="W76">
        <f t="shared" si="24"/>
        <v>1.3320902244206536</v>
      </c>
      <c r="X76">
        <f t="shared" si="24"/>
        <v>0.92926385076432894</v>
      </c>
      <c r="Y76">
        <f t="shared" si="24"/>
        <v>0.92484937690880997</v>
      </c>
      <c r="Z76">
        <f t="shared" si="25"/>
        <v>0.79150690021572245</v>
      </c>
      <c r="AA76">
        <f t="shared" si="26"/>
        <v>0.39337197200079999</v>
      </c>
      <c r="AB76">
        <f t="shared" si="27"/>
        <v>0.81146187961660488</v>
      </c>
      <c r="AC76" s="6">
        <f t="shared" si="28"/>
        <v>0.86416666666666675</v>
      </c>
    </row>
    <row r="77" spans="1:29" x14ac:dyDescent="0.2">
      <c r="A77">
        <v>1964.4</v>
      </c>
      <c r="B77" s="2">
        <v>3033.64</v>
      </c>
      <c r="C77" s="2">
        <v>22.27</v>
      </c>
      <c r="D77" s="2">
        <v>419.8</v>
      </c>
      <c r="E77" s="2">
        <v>99.6</v>
      </c>
      <c r="F77" s="2">
        <v>69710.333333333328</v>
      </c>
      <c r="G77" s="2">
        <f t="shared" si="15"/>
        <v>58.701955599718183</v>
      </c>
      <c r="H77" s="2">
        <v>3.5766666666666667</v>
      </c>
      <c r="I77" s="2">
        <v>125289</v>
      </c>
      <c r="J77" s="2">
        <f t="shared" si="16"/>
        <v>0.64908396696098758</v>
      </c>
      <c r="K77" s="2">
        <v>113.1</v>
      </c>
      <c r="L77" s="2">
        <v>16.8</v>
      </c>
      <c r="N77" s="3">
        <f t="shared" si="17"/>
        <v>336.87311177794697</v>
      </c>
      <c r="O77" s="3">
        <f t="shared" si="18"/>
        <v>193.01148749834897</v>
      </c>
      <c r="P77" s="3">
        <f t="shared" si="19"/>
        <v>844.97116892899942</v>
      </c>
      <c r="Q77" s="3">
        <f t="shared" si="20"/>
        <v>462.7768430232349</v>
      </c>
      <c r="R77" s="3">
        <f t="shared" si="23"/>
        <v>0.49516193901935068</v>
      </c>
      <c r="S77" s="3">
        <f t="shared" si="21"/>
        <v>-28.186159486006297</v>
      </c>
      <c r="T77" s="3">
        <f t="shared" si="22"/>
        <v>0.89416666666666667</v>
      </c>
      <c r="V77">
        <f t="shared" si="29"/>
        <v>70</v>
      </c>
      <c r="W77">
        <f t="shared" si="24"/>
        <v>-0.31357772390219907</v>
      </c>
      <c r="X77">
        <f t="shared" si="24"/>
        <v>0.88891260508441405</v>
      </c>
      <c r="Y77">
        <f t="shared" si="24"/>
        <v>-0.17073463488009111</v>
      </c>
      <c r="Z77">
        <f t="shared" si="25"/>
        <v>0.85977586885661594</v>
      </c>
      <c r="AA77">
        <f t="shared" si="26"/>
        <v>0.49516193901935068</v>
      </c>
      <c r="AB77">
        <f t="shared" si="27"/>
        <v>0.10185475963107393</v>
      </c>
      <c r="AC77" s="6">
        <f t="shared" si="28"/>
        <v>0.89416666666666667</v>
      </c>
    </row>
    <row r="78" spans="1:29" x14ac:dyDescent="0.2">
      <c r="A78">
        <v>1965.1</v>
      </c>
      <c r="B78" s="2">
        <v>3108.1509999999998</v>
      </c>
      <c r="C78" s="2">
        <v>22.382999999999999</v>
      </c>
      <c r="D78" s="2">
        <v>430.5</v>
      </c>
      <c r="E78" s="2">
        <v>104.1</v>
      </c>
      <c r="F78" s="2">
        <v>70187.666666666672</v>
      </c>
      <c r="G78" s="2">
        <f t="shared" si="15"/>
        <v>59.103910357352383</v>
      </c>
      <c r="H78" s="2">
        <v>3.9733333333333332</v>
      </c>
      <c r="I78" s="2">
        <v>125814</v>
      </c>
      <c r="J78" s="2">
        <f t="shared" si="16"/>
        <v>0.65180383129588149</v>
      </c>
      <c r="K78" s="2">
        <v>113.7</v>
      </c>
      <c r="L78" s="2">
        <v>16.899999999999999</v>
      </c>
      <c r="N78" s="3">
        <f t="shared" si="17"/>
        <v>338.46572162824981</v>
      </c>
      <c r="O78" s="3">
        <f t="shared" si="18"/>
        <v>196.50618680356357</v>
      </c>
      <c r="P78" s="3">
        <f t="shared" si="19"/>
        <v>846.97949291781424</v>
      </c>
      <c r="Q78" s="3">
        <f t="shared" si="20"/>
        <v>463.57019366628617</v>
      </c>
      <c r="R78" s="3">
        <f t="shared" si="23"/>
        <v>0.50612608882105725</v>
      </c>
      <c r="S78" s="3">
        <f t="shared" si="21"/>
        <v>-28.098812022845927</v>
      </c>
      <c r="T78" s="3">
        <f t="shared" si="22"/>
        <v>0.99333333333333329</v>
      </c>
      <c r="V78">
        <f t="shared" si="29"/>
        <v>71</v>
      </c>
      <c r="W78">
        <f t="shared" si="24"/>
        <v>1.5926098503028356</v>
      </c>
      <c r="X78">
        <f t="shared" si="24"/>
        <v>3.4946993052145956</v>
      </c>
      <c r="Y78">
        <f t="shared" si="24"/>
        <v>2.0083239888148228</v>
      </c>
      <c r="Z78">
        <f t="shared" si="25"/>
        <v>1.6531265119078853</v>
      </c>
      <c r="AA78">
        <f t="shared" si="26"/>
        <v>0.50612608882105725</v>
      </c>
      <c r="AB78">
        <f t="shared" si="27"/>
        <v>8.7347463160369898E-2</v>
      </c>
      <c r="AC78" s="6">
        <f t="shared" si="28"/>
        <v>0.99333333333333329</v>
      </c>
    </row>
    <row r="79" spans="1:29" x14ac:dyDescent="0.2">
      <c r="A79">
        <v>1965.2</v>
      </c>
      <c r="B79" s="2">
        <v>3150.1669999999999</v>
      </c>
      <c r="C79" s="2">
        <v>22.48</v>
      </c>
      <c r="D79" s="2">
        <v>437.4</v>
      </c>
      <c r="E79" s="2">
        <v>107.3</v>
      </c>
      <c r="F79" s="2">
        <v>70897.333333333328</v>
      </c>
      <c r="G79" s="2">
        <f t="shared" si="15"/>
        <v>59.70150929520377</v>
      </c>
      <c r="H79" s="2">
        <v>4.0766666666666671</v>
      </c>
      <c r="I79" s="2">
        <v>126324.66666666667</v>
      </c>
      <c r="J79" s="2">
        <f t="shared" si="16"/>
        <v>0.65444943901718777</v>
      </c>
      <c r="K79" s="2">
        <v>113.5</v>
      </c>
      <c r="L79" s="2">
        <v>17</v>
      </c>
      <c r="N79" s="3">
        <f t="shared" si="17"/>
        <v>339.21830311440334</v>
      </c>
      <c r="O79" s="3">
        <f t="shared" si="18"/>
        <v>198.69635725380186</v>
      </c>
      <c r="P79" s="3">
        <f t="shared" si="19"/>
        <v>847.9171694214258</v>
      </c>
      <c r="Q79" s="3">
        <f t="shared" si="20"/>
        <v>463.99509002659067</v>
      </c>
      <c r="R79" s="3">
        <f t="shared" si="23"/>
        <v>0.43242828680032375</v>
      </c>
      <c r="S79" s="3">
        <f t="shared" si="21"/>
        <v>-27.941268096927431</v>
      </c>
      <c r="T79" s="3">
        <f t="shared" si="22"/>
        <v>1.0191666666666668</v>
      </c>
      <c r="V79">
        <f t="shared" si="29"/>
        <v>72</v>
      </c>
      <c r="W79">
        <f t="shared" si="24"/>
        <v>0.75258148615353093</v>
      </c>
      <c r="X79">
        <f t="shared" si="24"/>
        <v>2.1901704502382984</v>
      </c>
      <c r="Y79">
        <f t="shared" si="24"/>
        <v>0.93767650361155575</v>
      </c>
      <c r="Z79">
        <f t="shared" si="25"/>
        <v>2.0780228722123866</v>
      </c>
      <c r="AA79">
        <f t="shared" si="26"/>
        <v>0.43242828680032375</v>
      </c>
      <c r="AB79">
        <f t="shared" si="27"/>
        <v>0.15754392591849609</v>
      </c>
      <c r="AC79" s="6">
        <f t="shared" si="28"/>
        <v>1.0191666666666668</v>
      </c>
    </row>
    <row r="80" spans="1:29" x14ac:dyDescent="0.2">
      <c r="A80">
        <v>1965.3</v>
      </c>
      <c r="B80" s="2">
        <v>3214.076</v>
      </c>
      <c r="C80" s="2">
        <v>22.562999999999999</v>
      </c>
      <c r="D80" s="2">
        <v>446.6</v>
      </c>
      <c r="E80" s="2">
        <v>110.4</v>
      </c>
      <c r="F80" s="2">
        <v>71369.333333333328</v>
      </c>
      <c r="G80" s="2">
        <f t="shared" si="15"/>
        <v>60.098972938227526</v>
      </c>
      <c r="H80" s="2">
        <v>4.0733333333333333</v>
      </c>
      <c r="I80" s="2">
        <v>126745</v>
      </c>
      <c r="J80" s="2">
        <f t="shared" si="16"/>
        <v>0.65662705738309324</v>
      </c>
      <c r="K80" s="2">
        <v>113.2</v>
      </c>
      <c r="L80" s="2">
        <v>17.2</v>
      </c>
      <c r="N80" s="3">
        <f t="shared" si="17"/>
        <v>340.599100933709</v>
      </c>
      <c r="O80" s="3">
        <f t="shared" si="18"/>
        <v>200.84378037740277</v>
      </c>
      <c r="P80" s="3">
        <f t="shared" si="19"/>
        <v>849.59342590076506</v>
      </c>
      <c r="Q80" s="3">
        <f t="shared" si="20"/>
        <v>464.06177984053551</v>
      </c>
      <c r="R80" s="3">
        <f t="shared" si="23"/>
        <v>0.36853714868856358</v>
      </c>
      <c r="S80" s="3">
        <f t="shared" si="21"/>
        <v>-27.140201269296838</v>
      </c>
      <c r="T80" s="3">
        <f t="shared" si="22"/>
        <v>1.0183333333333333</v>
      </c>
      <c r="V80">
        <f t="shared" si="29"/>
        <v>73</v>
      </c>
      <c r="W80">
        <f t="shared" si="24"/>
        <v>1.3807978193056556</v>
      </c>
      <c r="X80">
        <f t="shared" si="24"/>
        <v>2.1474231236009018</v>
      </c>
      <c r="Y80">
        <f t="shared" si="24"/>
        <v>1.6762564793392585</v>
      </c>
      <c r="Z80">
        <f t="shared" si="25"/>
        <v>2.1447126861572201</v>
      </c>
      <c r="AA80">
        <f t="shared" si="26"/>
        <v>0.36853714868856358</v>
      </c>
      <c r="AB80">
        <f t="shared" si="27"/>
        <v>0.80106682763059212</v>
      </c>
      <c r="AC80" s="6">
        <f t="shared" si="28"/>
        <v>1.0183333333333333</v>
      </c>
    </row>
    <row r="81" spans="1:29" x14ac:dyDescent="0.2">
      <c r="A81">
        <v>1965.4</v>
      </c>
      <c r="B81" s="2">
        <v>3291.826</v>
      </c>
      <c r="C81" s="2">
        <v>22.707000000000001</v>
      </c>
      <c r="D81" s="2">
        <v>460.6</v>
      </c>
      <c r="E81" s="2">
        <v>114.2</v>
      </c>
      <c r="F81" s="2">
        <v>71827</v>
      </c>
      <c r="G81" s="2">
        <f t="shared" si="15"/>
        <v>60.484366710735728</v>
      </c>
      <c r="H81" s="2">
        <v>4.166666666666667</v>
      </c>
      <c r="I81" s="2">
        <v>127169.33333333333</v>
      </c>
      <c r="J81" s="2">
        <f t="shared" si="16"/>
        <v>0.65882539852488364</v>
      </c>
      <c r="K81" s="2">
        <v>113.2</v>
      </c>
      <c r="L81" s="2">
        <v>17.399999999999999</v>
      </c>
      <c r="N81" s="3">
        <f t="shared" si="17"/>
        <v>342.71534691039381</v>
      </c>
      <c r="O81" s="3">
        <f t="shared" si="18"/>
        <v>203.25747789392628</v>
      </c>
      <c r="P81" s="3">
        <f t="shared" si="19"/>
        <v>851.64944337055101</v>
      </c>
      <c r="Q81" s="3">
        <f t="shared" si="20"/>
        <v>464.36676386634241</v>
      </c>
      <c r="R81" s="3">
        <f t="shared" si="23"/>
        <v>0.63618504827642752</v>
      </c>
      <c r="S81" s="3">
        <f t="shared" si="21"/>
        <v>-26.620304077465683</v>
      </c>
      <c r="T81" s="3">
        <f t="shared" si="22"/>
        <v>1.0416666666666667</v>
      </c>
      <c r="V81">
        <f t="shared" si="29"/>
        <v>74</v>
      </c>
      <c r="W81">
        <f t="shared" si="24"/>
        <v>2.1162459766848087</v>
      </c>
      <c r="X81">
        <f t="shared" si="24"/>
        <v>2.4136975165235128</v>
      </c>
      <c r="Y81">
        <f t="shared" si="24"/>
        <v>2.0560174697859566</v>
      </c>
      <c r="Z81">
        <f t="shared" si="25"/>
        <v>2.4496967119641226</v>
      </c>
      <c r="AA81">
        <f t="shared" si="26"/>
        <v>0.63618504827642752</v>
      </c>
      <c r="AB81">
        <f t="shared" si="27"/>
        <v>0.51989719183115568</v>
      </c>
      <c r="AC81" s="6">
        <f t="shared" si="28"/>
        <v>1.0416666666666667</v>
      </c>
    </row>
    <row r="82" spans="1:29" x14ac:dyDescent="0.2">
      <c r="A82">
        <v>1966.1</v>
      </c>
      <c r="B82" s="2">
        <v>3372.3249999999998</v>
      </c>
      <c r="C82" s="2">
        <v>22.855</v>
      </c>
      <c r="D82" s="2">
        <v>471</v>
      </c>
      <c r="E82" s="2">
        <v>117.9</v>
      </c>
      <c r="F82" s="2">
        <v>72173.333333333328</v>
      </c>
      <c r="G82" s="2">
        <f t="shared" si="15"/>
        <v>60.77600846575104</v>
      </c>
      <c r="H82" s="2">
        <v>4.5566666666666666</v>
      </c>
      <c r="I82" s="2">
        <v>127511.33333333333</v>
      </c>
      <c r="J82" s="2">
        <f t="shared" si="16"/>
        <v>0.66059719586304311</v>
      </c>
      <c r="K82" s="2">
        <v>113.4</v>
      </c>
      <c r="L82" s="2">
        <v>17.8</v>
      </c>
      <c r="N82" s="3">
        <f t="shared" si="17"/>
        <v>344.02991931005869</v>
      </c>
      <c r="O82" s="3">
        <f t="shared" si="18"/>
        <v>205.52779066274942</v>
      </c>
      <c r="P82" s="3">
        <f t="shared" si="19"/>
        <v>853.79687073143361</v>
      </c>
      <c r="Q82" s="3">
        <f t="shared" si="20"/>
        <v>464.75573296686588</v>
      </c>
      <c r="R82" s="3">
        <f t="shared" si="23"/>
        <v>0.64966647885675854</v>
      </c>
      <c r="S82" s="3">
        <f t="shared" si="21"/>
        <v>-24.997145448566823</v>
      </c>
      <c r="T82" s="3">
        <f t="shared" si="22"/>
        <v>1.1391666666666667</v>
      </c>
      <c r="V82">
        <f t="shared" si="29"/>
        <v>75</v>
      </c>
      <c r="W82">
        <f t="shared" si="24"/>
        <v>1.3145723996648826</v>
      </c>
      <c r="X82">
        <f t="shared" si="24"/>
        <v>2.2703127688231461</v>
      </c>
      <c r="Y82">
        <f t="shared" si="24"/>
        <v>2.1474273608826024</v>
      </c>
      <c r="Z82">
        <f t="shared" si="25"/>
        <v>2.8386658124875908</v>
      </c>
      <c r="AA82">
        <f t="shared" si="26"/>
        <v>0.64966647885675854</v>
      </c>
      <c r="AB82">
        <f t="shared" si="27"/>
        <v>1.6231586288988602</v>
      </c>
      <c r="AC82" s="6">
        <f t="shared" si="28"/>
        <v>1.1391666666666667</v>
      </c>
    </row>
    <row r="83" spans="1:29" x14ac:dyDescent="0.2">
      <c r="A83">
        <v>1966.2</v>
      </c>
      <c r="B83" s="2">
        <v>3384.0070000000001</v>
      </c>
      <c r="C83" s="2">
        <v>23.047999999999998</v>
      </c>
      <c r="D83" s="2">
        <v>476.1</v>
      </c>
      <c r="E83" s="2">
        <v>118.4</v>
      </c>
      <c r="F83" s="2">
        <v>72594</v>
      </c>
      <c r="G83" s="2">
        <f t="shared" si="15"/>
        <v>61.130245130649328</v>
      </c>
      <c r="H83" s="2">
        <v>4.9133333333333331</v>
      </c>
      <c r="I83" s="2">
        <v>127868.66666666667</v>
      </c>
      <c r="J83" s="2">
        <f t="shared" si="16"/>
        <v>0.66244843050876145</v>
      </c>
      <c r="K83" s="2">
        <v>113.1</v>
      </c>
      <c r="L83" s="2">
        <v>18</v>
      </c>
      <c r="N83" s="3">
        <f t="shared" si="17"/>
        <v>343.98614833112458</v>
      </c>
      <c r="O83" s="3">
        <f t="shared" si="18"/>
        <v>204.83022895606777</v>
      </c>
      <c r="P83" s="3">
        <f t="shared" si="19"/>
        <v>853.86283541748935</v>
      </c>
      <c r="Q83" s="3">
        <f t="shared" si="20"/>
        <v>464.79215160489326</v>
      </c>
      <c r="R83" s="3">
        <f t="shared" si="23"/>
        <v>0.84090859985197497</v>
      </c>
      <c r="S83" s="3">
        <f t="shared" si="21"/>
        <v>-24.720723988606252</v>
      </c>
      <c r="T83" s="3">
        <f t="shared" si="22"/>
        <v>1.2283333333333333</v>
      </c>
      <c r="V83">
        <f t="shared" si="29"/>
        <v>76</v>
      </c>
      <c r="W83">
        <f t="shared" si="24"/>
        <v>-4.3770978934105642E-2</v>
      </c>
      <c r="X83">
        <f t="shared" si="24"/>
        <v>-0.69756170668165396</v>
      </c>
      <c r="Y83">
        <f t="shared" si="24"/>
        <v>6.596468605573591E-2</v>
      </c>
      <c r="Z83">
        <f t="shared" si="25"/>
        <v>2.8750844505149757</v>
      </c>
      <c r="AA83">
        <f t="shared" si="26"/>
        <v>0.84090859985197497</v>
      </c>
      <c r="AB83">
        <f t="shared" si="27"/>
        <v>0.2764214599605701</v>
      </c>
      <c r="AC83" s="6">
        <f t="shared" si="28"/>
        <v>1.2283333333333333</v>
      </c>
    </row>
    <row r="84" spans="1:29" x14ac:dyDescent="0.2">
      <c r="A84">
        <v>1966.3</v>
      </c>
      <c r="B84" s="2">
        <v>3406.2919999999999</v>
      </c>
      <c r="C84" s="2">
        <v>23.291</v>
      </c>
      <c r="D84" s="2">
        <v>485.3</v>
      </c>
      <c r="E84" s="2">
        <v>118.3</v>
      </c>
      <c r="F84" s="2">
        <v>73088</v>
      </c>
      <c r="G84" s="2">
        <f t="shared" si="15"/>
        <v>61.546234621441144</v>
      </c>
      <c r="H84" s="2">
        <v>5.41</v>
      </c>
      <c r="I84" s="2">
        <v>128233.66666666667</v>
      </c>
      <c r="J84" s="2">
        <f t="shared" si="16"/>
        <v>0.66433938380825908</v>
      </c>
      <c r="K84" s="2">
        <v>112.6</v>
      </c>
      <c r="L84" s="2">
        <v>18.3</v>
      </c>
      <c r="N84" s="3">
        <f t="shared" si="17"/>
        <v>344.56623764438763</v>
      </c>
      <c r="O84" s="3">
        <f t="shared" si="18"/>
        <v>203.41188910170467</v>
      </c>
      <c r="P84" s="3">
        <f t="shared" si="19"/>
        <v>854.23417285007429</v>
      </c>
      <c r="Q84" s="3">
        <f t="shared" si="20"/>
        <v>464.74223444355187</v>
      </c>
      <c r="R84" s="3">
        <f t="shared" si="23"/>
        <v>1.0488022075042736</v>
      </c>
      <c r="S84" s="3">
        <f t="shared" si="21"/>
        <v>-24.116596000989507</v>
      </c>
      <c r="T84" s="3">
        <f t="shared" si="22"/>
        <v>1.3525</v>
      </c>
      <c r="V84">
        <f t="shared" si="29"/>
        <v>77</v>
      </c>
      <c r="W84">
        <f t="shared" si="24"/>
        <v>0.58008931326304491</v>
      </c>
      <c r="X84">
        <f t="shared" si="24"/>
        <v>-1.4183398543630972</v>
      </c>
      <c r="Y84">
        <f t="shared" si="24"/>
        <v>0.37133743258493723</v>
      </c>
      <c r="Z84">
        <f t="shared" si="25"/>
        <v>2.825167289173578</v>
      </c>
      <c r="AA84">
        <f t="shared" si="26"/>
        <v>1.0488022075042736</v>
      </c>
      <c r="AB84">
        <f t="shared" si="27"/>
        <v>0.6041279876167458</v>
      </c>
      <c r="AC84" s="6">
        <f t="shared" si="28"/>
        <v>1.3525</v>
      </c>
    </row>
    <row r="85" spans="1:29" x14ac:dyDescent="0.2">
      <c r="A85">
        <v>1966.4</v>
      </c>
      <c r="B85" s="2">
        <v>3433.681</v>
      </c>
      <c r="C85" s="2">
        <v>23.504999999999999</v>
      </c>
      <c r="D85" s="2">
        <v>491.1</v>
      </c>
      <c r="E85" s="2">
        <v>116.1</v>
      </c>
      <c r="F85" s="2">
        <v>73656.666666666672</v>
      </c>
      <c r="G85" s="2">
        <f t="shared" si="15"/>
        <v>62.025099716779089</v>
      </c>
      <c r="H85" s="2">
        <v>5.5633333333333326</v>
      </c>
      <c r="I85" s="2">
        <v>128617</v>
      </c>
      <c r="J85" s="2">
        <f t="shared" si="16"/>
        <v>0.66632531649722915</v>
      </c>
      <c r="K85" s="2">
        <v>112.1</v>
      </c>
      <c r="L85" s="2">
        <v>18.5</v>
      </c>
      <c r="N85" s="3">
        <f t="shared" si="17"/>
        <v>344.54118730611196</v>
      </c>
      <c r="O85" s="3">
        <f t="shared" si="18"/>
        <v>200.32159887197659</v>
      </c>
      <c r="P85" s="3">
        <f t="shared" si="19"/>
        <v>854.73654070508906</v>
      </c>
      <c r="Q85" s="3">
        <f t="shared" si="20"/>
        <v>464.77375458454952</v>
      </c>
      <c r="R85" s="3">
        <f t="shared" si="23"/>
        <v>0.91461446188234596</v>
      </c>
      <c r="S85" s="3">
        <f t="shared" si="21"/>
        <v>-23.944243239181468</v>
      </c>
      <c r="T85" s="3">
        <f t="shared" si="22"/>
        <v>1.3908333333333331</v>
      </c>
      <c r="V85">
        <f t="shared" si="29"/>
        <v>78</v>
      </c>
      <c r="W85">
        <f t="shared" si="24"/>
        <v>-2.5050338275661943E-2</v>
      </c>
      <c r="X85">
        <f t="shared" si="24"/>
        <v>-3.0902902297280832</v>
      </c>
      <c r="Y85">
        <f t="shared" si="24"/>
        <v>0.50236785501476788</v>
      </c>
      <c r="Z85">
        <f t="shared" si="25"/>
        <v>2.8566874301712346</v>
      </c>
      <c r="AA85">
        <f t="shared" si="26"/>
        <v>0.91461446188234596</v>
      </c>
      <c r="AB85">
        <f t="shared" si="27"/>
        <v>0.17235276180803893</v>
      </c>
      <c r="AC85" s="6">
        <f t="shared" si="28"/>
        <v>1.3908333333333331</v>
      </c>
    </row>
    <row r="86" spans="1:29" x14ac:dyDescent="0.2">
      <c r="A86">
        <v>1967.1</v>
      </c>
      <c r="B86" s="2">
        <v>3464.114</v>
      </c>
      <c r="C86" s="2">
        <v>23.611999999999998</v>
      </c>
      <c r="D86" s="2">
        <v>495.4</v>
      </c>
      <c r="E86" s="2">
        <v>113.9</v>
      </c>
      <c r="F86" s="2">
        <v>73572</v>
      </c>
      <c r="G86" s="2">
        <f t="shared" si="15"/>
        <v>61.953803272338384</v>
      </c>
      <c r="H86" s="2">
        <v>4.8233333333333341</v>
      </c>
      <c r="I86" s="2">
        <v>129043.66666666667</v>
      </c>
      <c r="J86" s="2">
        <f t="shared" si="16"/>
        <v>0.66853574592495246</v>
      </c>
      <c r="K86" s="2">
        <v>111.5</v>
      </c>
      <c r="L86" s="2">
        <v>18.8</v>
      </c>
      <c r="N86" s="3">
        <f t="shared" si="17"/>
        <v>344.62758717066544</v>
      </c>
      <c r="O86" s="3">
        <f t="shared" si="18"/>
        <v>197.62312251045316</v>
      </c>
      <c r="P86" s="3">
        <f t="shared" si="19"/>
        <v>855.28775911013599</v>
      </c>
      <c r="Q86" s="3">
        <f t="shared" si="20"/>
        <v>463.79088157450258</v>
      </c>
      <c r="R86" s="3">
        <f t="shared" si="23"/>
        <v>0.45418929023490762</v>
      </c>
      <c r="S86" s="3">
        <f t="shared" si="21"/>
        <v>-22.789818754253936</v>
      </c>
      <c r="T86" s="3">
        <f t="shared" si="22"/>
        <v>1.2058333333333335</v>
      </c>
      <c r="V86">
        <f t="shared" si="29"/>
        <v>79</v>
      </c>
      <c r="W86">
        <f t="shared" si="24"/>
        <v>8.6399864553470707E-2</v>
      </c>
      <c r="X86">
        <f t="shared" si="24"/>
        <v>-2.6984763615234328</v>
      </c>
      <c r="Y86">
        <f t="shared" si="24"/>
        <v>0.55121840504693864</v>
      </c>
      <c r="Z86">
        <f t="shared" si="25"/>
        <v>1.8738144201242903</v>
      </c>
      <c r="AA86">
        <f t="shared" si="26"/>
        <v>0.45418929023490762</v>
      </c>
      <c r="AB86">
        <f t="shared" si="27"/>
        <v>1.1544244849275316</v>
      </c>
      <c r="AC86" s="6">
        <f t="shared" si="28"/>
        <v>1.2058333333333335</v>
      </c>
    </row>
    <row r="87" spans="1:29" x14ac:dyDescent="0.2">
      <c r="A87">
        <v>1967.2</v>
      </c>
      <c r="B87" s="2">
        <v>3464.31</v>
      </c>
      <c r="C87" s="2">
        <v>23.741</v>
      </c>
      <c r="D87" s="2">
        <v>504.5</v>
      </c>
      <c r="E87" s="2">
        <v>117.3</v>
      </c>
      <c r="F87" s="2">
        <v>74001.333333333328</v>
      </c>
      <c r="G87" s="2">
        <f t="shared" si="15"/>
        <v>62.315337998478626</v>
      </c>
      <c r="H87" s="2">
        <v>3.99</v>
      </c>
      <c r="I87" s="2">
        <v>129527</v>
      </c>
      <c r="J87" s="2">
        <f t="shared" si="16"/>
        <v>0.67103974801104516</v>
      </c>
      <c r="K87" s="2">
        <v>110.8</v>
      </c>
      <c r="L87" s="2">
        <v>19.100000000000001</v>
      </c>
      <c r="N87" s="3">
        <f t="shared" si="17"/>
        <v>345.52912352888063</v>
      </c>
      <c r="O87" s="3">
        <f t="shared" si="18"/>
        <v>199.64581511545722</v>
      </c>
      <c r="P87" s="3">
        <f t="shared" si="19"/>
        <v>854.91956643836954</v>
      </c>
      <c r="Q87" s="3">
        <f t="shared" si="20"/>
        <v>463.36910864081847</v>
      </c>
      <c r="R87" s="3">
        <f t="shared" si="23"/>
        <v>0.54484539150880806</v>
      </c>
      <c r="S87" s="3">
        <f t="shared" si="21"/>
        <v>-21.751517624094657</v>
      </c>
      <c r="T87" s="3">
        <f t="shared" si="22"/>
        <v>0.99750000000000005</v>
      </c>
      <c r="V87">
        <f t="shared" si="29"/>
        <v>80</v>
      </c>
      <c r="W87">
        <f t="shared" si="24"/>
        <v>0.90153635821519629</v>
      </c>
      <c r="X87">
        <f t="shared" si="24"/>
        <v>2.0226926050040674</v>
      </c>
      <c r="Y87">
        <f t="shared" si="24"/>
        <v>-0.36819267176645099</v>
      </c>
      <c r="Z87">
        <f t="shared" si="25"/>
        <v>1.4520414864401801</v>
      </c>
      <c r="AA87">
        <f t="shared" si="26"/>
        <v>0.54484539150880806</v>
      </c>
      <c r="AB87">
        <f t="shared" si="27"/>
        <v>1.0383011301592795</v>
      </c>
      <c r="AC87" s="6">
        <f t="shared" si="28"/>
        <v>0.99750000000000005</v>
      </c>
    </row>
    <row r="88" spans="1:29" x14ac:dyDescent="0.2">
      <c r="A88">
        <v>1967.3</v>
      </c>
      <c r="B88" s="2">
        <v>3491.7979999999998</v>
      </c>
      <c r="C88" s="2">
        <v>23.975000000000001</v>
      </c>
      <c r="D88" s="2">
        <v>511.8</v>
      </c>
      <c r="E88" s="2">
        <v>119.2</v>
      </c>
      <c r="F88" s="2">
        <v>74713.666666666672</v>
      </c>
      <c r="G88" s="2">
        <f t="shared" si="15"/>
        <v>62.915182493635257</v>
      </c>
      <c r="H88" s="2">
        <v>3.8933333333333331</v>
      </c>
      <c r="I88" s="2">
        <v>130165.66666666667</v>
      </c>
      <c r="J88" s="2">
        <f t="shared" si="16"/>
        <v>0.67434848456066854</v>
      </c>
      <c r="K88" s="2">
        <v>110.7</v>
      </c>
      <c r="L88" s="2">
        <v>19.399999999999999</v>
      </c>
      <c r="N88" s="3">
        <f t="shared" si="17"/>
        <v>345.49305652373152</v>
      </c>
      <c r="O88" s="3">
        <f t="shared" si="18"/>
        <v>199.77993961428763</v>
      </c>
      <c r="P88" s="3">
        <f t="shared" si="19"/>
        <v>855.21803310611483</v>
      </c>
      <c r="Q88" s="3">
        <f t="shared" si="20"/>
        <v>463.74494256852807</v>
      </c>
      <c r="R88" s="3">
        <f t="shared" si="23"/>
        <v>0.98081094759709941</v>
      </c>
      <c r="S88" s="3">
        <f t="shared" si="21"/>
        <v>-21.173855470021959</v>
      </c>
      <c r="T88" s="3">
        <f t="shared" si="22"/>
        <v>0.97333333333333327</v>
      </c>
      <c r="V88">
        <f t="shared" si="29"/>
        <v>81</v>
      </c>
      <c r="W88">
        <f t="shared" si="24"/>
        <v>-3.606700514910699E-2</v>
      </c>
      <c r="X88">
        <f t="shared" si="24"/>
        <v>0.13412449883040267</v>
      </c>
      <c r="Y88">
        <f t="shared" si="24"/>
        <v>0.29846666774528785</v>
      </c>
      <c r="Z88">
        <f t="shared" si="25"/>
        <v>1.827875414149787</v>
      </c>
      <c r="AA88">
        <f t="shared" si="26"/>
        <v>0.98081094759709941</v>
      </c>
      <c r="AB88">
        <f t="shared" si="27"/>
        <v>0.57766215407269783</v>
      </c>
      <c r="AC88" s="6">
        <f t="shared" si="28"/>
        <v>0.97333333333333327</v>
      </c>
    </row>
    <row r="89" spans="1:29" x14ac:dyDescent="0.2">
      <c r="A89">
        <v>1967.4</v>
      </c>
      <c r="B89" s="2">
        <v>3518.2049999999999</v>
      </c>
      <c r="C89" s="2">
        <v>24.241</v>
      </c>
      <c r="D89" s="2">
        <v>519.29999999999995</v>
      </c>
      <c r="E89" s="2">
        <v>124.5</v>
      </c>
      <c r="F89" s="2">
        <v>75216.333333333328</v>
      </c>
      <c r="G89" s="2">
        <f t="shared" si="15"/>
        <v>63.338470045669013</v>
      </c>
      <c r="H89" s="2">
        <v>4.1733333333333329</v>
      </c>
      <c r="I89" s="2">
        <v>130757.33333333333</v>
      </c>
      <c r="J89" s="2">
        <f t="shared" si="16"/>
        <v>0.67741372849364412</v>
      </c>
      <c r="K89" s="2">
        <v>110.6</v>
      </c>
      <c r="L89" s="2">
        <v>19.600000000000001</v>
      </c>
      <c r="N89" s="3">
        <f t="shared" si="17"/>
        <v>345.39094087278909</v>
      </c>
      <c r="O89" s="3">
        <f t="shared" si="18"/>
        <v>202.57333737823805</v>
      </c>
      <c r="P89" s="3">
        <f t="shared" si="19"/>
        <v>855.51792676982961</v>
      </c>
      <c r="Q89" s="3">
        <f t="shared" si="20"/>
        <v>463.8715861641071</v>
      </c>
      <c r="R89" s="3">
        <f t="shared" si="23"/>
        <v>1.1033793706096251</v>
      </c>
      <c r="S89" s="3">
        <f t="shared" si="21"/>
        <v>-21.251584823912655</v>
      </c>
      <c r="T89" s="3">
        <f t="shared" si="22"/>
        <v>1.0433333333333332</v>
      </c>
      <c r="V89">
        <f t="shared" si="29"/>
        <v>82</v>
      </c>
      <c r="W89">
        <f t="shared" si="24"/>
        <v>-0.10211565094243724</v>
      </c>
      <c r="X89">
        <f t="shared" si="24"/>
        <v>2.7933977639504235</v>
      </c>
      <c r="Y89">
        <f t="shared" si="24"/>
        <v>0.29989366371478354</v>
      </c>
      <c r="Z89">
        <f t="shared" si="25"/>
        <v>1.9545190097288128</v>
      </c>
      <c r="AA89">
        <f t="shared" si="26"/>
        <v>1.1033793706096251</v>
      </c>
      <c r="AB89">
        <f t="shared" si="27"/>
        <v>-7.7729353890696018E-2</v>
      </c>
      <c r="AC89" s="6">
        <f t="shared" si="28"/>
        <v>1.0433333333333332</v>
      </c>
    </row>
    <row r="90" spans="1:29" x14ac:dyDescent="0.2">
      <c r="A90">
        <v>1968.1</v>
      </c>
      <c r="B90" s="2">
        <v>3590.6550000000002</v>
      </c>
      <c r="C90" s="2">
        <v>24.506</v>
      </c>
      <c r="D90" s="2">
        <v>537.29999999999995</v>
      </c>
      <c r="E90" s="2">
        <v>128.80000000000001</v>
      </c>
      <c r="F90" s="2">
        <v>75102.666666666672</v>
      </c>
      <c r="G90" s="2">
        <f t="shared" si="15"/>
        <v>63.242753165534069</v>
      </c>
      <c r="H90" s="2">
        <v>4.7866666666666662</v>
      </c>
      <c r="I90" s="2">
        <v>131267</v>
      </c>
      <c r="J90" s="2">
        <f t="shared" si="16"/>
        <v>0.68005415552097914</v>
      </c>
      <c r="K90" s="2">
        <v>110.2</v>
      </c>
      <c r="L90" s="2">
        <v>20.2</v>
      </c>
      <c r="N90" s="3">
        <f t="shared" si="17"/>
        <v>347.32214557186114</v>
      </c>
      <c r="O90" s="3">
        <f t="shared" si="18"/>
        <v>204.4925671654089</v>
      </c>
      <c r="P90" s="3">
        <f t="shared" si="19"/>
        <v>857.16727596046917</v>
      </c>
      <c r="Q90" s="3">
        <f t="shared" si="20"/>
        <v>462.96901008273289</v>
      </c>
      <c r="R90" s="3">
        <f t="shared" si="23"/>
        <v>1.0872571051656621</v>
      </c>
      <c r="S90" s="3">
        <f t="shared" si="21"/>
        <v>-19.323538112009576</v>
      </c>
      <c r="T90" s="3">
        <f t="shared" si="22"/>
        <v>1.1966666666666665</v>
      </c>
      <c r="V90">
        <f t="shared" si="29"/>
        <v>83</v>
      </c>
      <c r="W90">
        <f t="shared" si="24"/>
        <v>1.9312046990720546</v>
      </c>
      <c r="X90">
        <f t="shared" si="24"/>
        <v>1.919229787170849</v>
      </c>
      <c r="Y90">
        <f t="shared" si="24"/>
        <v>1.6493491906395548</v>
      </c>
      <c r="Z90">
        <f t="shared" si="25"/>
        <v>1.051942928354606</v>
      </c>
      <c r="AA90">
        <f t="shared" si="26"/>
        <v>1.0872571051656621</v>
      </c>
      <c r="AB90">
        <f t="shared" si="27"/>
        <v>1.9280467119030789</v>
      </c>
      <c r="AC90" s="6">
        <f t="shared" si="28"/>
        <v>1.1966666666666665</v>
      </c>
    </row>
    <row r="91" spans="1:29" x14ac:dyDescent="0.2">
      <c r="A91">
        <v>1968.2</v>
      </c>
      <c r="B91" s="2">
        <v>3651.6179999999999</v>
      </c>
      <c r="C91" s="2">
        <v>24.763000000000002</v>
      </c>
      <c r="D91" s="2">
        <v>551.20000000000005</v>
      </c>
      <c r="E91" s="2">
        <v>129.30000000000001</v>
      </c>
      <c r="F91" s="2">
        <v>75950</v>
      </c>
      <c r="G91" s="2">
        <f t="shared" si="15"/>
        <v>63.95627899926739</v>
      </c>
      <c r="H91" s="2">
        <v>5.98</v>
      </c>
      <c r="I91" s="2">
        <v>131712.33333333334</v>
      </c>
      <c r="J91" s="2">
        <f t="shared" si="16"/>
        <v>0.6823612912361654</v>
      </c>
      <c r="K91" s="2">
        <v>110.4</v>
      </c>
      <c r="L91" s="2">
        <v>20.5</v>
      </c>
      <c r="N91" s="3">
        <f t="shared" si="17"/>
        <v>348.49431249186409</v>
      </c>
      <c r="O91" s="3">
        <f t="shared" si="18"/>
        <v>203.49806909970042</v>
      </c>
      <c r="P91" s="3">
        <f t="shared" si="19"/>
        <v>858.51216448871378</v>
      </c>
      <c r="Q91" s="3">
        <f t="shared" si="20"/>
        <v>463.93356659935608</v>
      </c>
      <c r="R91" s="3">
        <f t="shared" si="23"/>
        <v>1.0432618115874703</v>
      </c>
      <c r="S91" s="3">
        <f t="shared" si="21"/>
        <v>-18.892571749876673</v>
      </c>
      <c r="T91" s="3">
        <f t="shared" si="22"/>
        <v>1.4950000000000001</v>
      </c>
      <c r="V91">
        <f t="shared" si="29"/>
        <v>84</v>
      </c>
      <c r="W91">
        <f t="shared" si="24"/>
        <v>1.172166920002951</v>
      </c>
      <c r="X91">
        <f t="shared" si="24"/>
        <v>-0.99449806570848409</v>
      </c>
      <c r="Y91">
        <f t="shared" si="24"/>
        <v>1.3448885282446099</v>
      </c>
      <c r="Z91">
        <f t="shared" si="25"/>
        <v>2.0164994449777964</v>
      </c>
      <c r="AA91">
        <f t="shared" si="26"/>
        <v>1.0432618115874703</v>
      </c>
      <c r="AB91">
        <f t="shared" si="27"/>
        <v>0.43096636213290296</v>
      </c>
      <c r="AC91" s="6">
        <f t="shared" si="28"/>
        <v>1.4950000000000001</v>
      </c>
    </row>
    <row r="92" spans="1:29" x14ac:dyDescent="0.2">
      <c r="A92">
        <v>1968.3</v>
      </c>
      <c r="B92" s="2">
        <v>3676.4549999999999</v>
      </c>
      <c r="C92" s="2">
        <v>25.007999999999999</v>
      </c>
      <c r="D92" s="2">
        <v>567.4</v>
      </c>
      <c r="E92" s="2">
        <v>132</v>
      </c>
      <c r="F92" s="2">
        <v>76100.666666666672</v>
      </c>
      <c r="G92" s="2">
        <f t="shared" si="15"/>
        <v>64.083152987012255</v>
      </c>
      <c r="H92" s="2">
        <v>5.9433333333333342</v>
      </c>
      <c r="I92" s="2">
        <v>132250</v>
      </c>
      <c r="J92" s="2">
        <f t="shared" si="16"/>
        <v>0.68514677769469479</v>
      </c>
      <c r="K92" s="2">
        <v>110.4</v>
      </c>
      <c r="L92" s="2">
        <v>20.9</v>
      </c>
      <c r="N92" s="3">
        <f t="shared" si="17"/>
        <v>349.99909383620843</v>
      </c>
      <c r="O92" s="3">
        <f t="shared" si="18"/>
        <v>204.17283385737042</v>
      </c>
      <c r="P92" s="3">
        <f t="shared" si="19"/>
        <v>858.78264413257421</v>
      </c>
      <c r="Q92" s="3">
        <f t="shared" si="20"/>
        <v>463.72436429881583</v>
      </c>
      <c r="R92" s="3">
        <f t="shared" si="23"/>
        <v>0.98451700359913907</v>
      </c>
      <c r="S92" s="3">
        <f t="shared" si="21"/>
        <v>-17.944661470835555</v>
      </c>
      <c r="T92" s="3">
        <f t="shared" si="22"/>
        <v>1.4858333333333336</v>
      </c>
      <c r="V92">
        <f t="shared" si="29"/>
        <v>85</v>
      </c>
      <c r="W92">
        <f t="shared" si="24"/>
        <v>1.5047813443443374</v>
      </c>
      <c r="X92">
        <f t="shared" si="24"/>
        <v>0.67476475767000466</v>
      </c>
      <c r="Y92">
        <f t="shared" si="24"/>
        <v>0.27047964386042622</v>
      </c>
      <c r="Z92">
        <f t="shared" si="25"/>
        <v>1.8072971444375412</v>
      </c>
      <c r="AA92">
        <f t="shared" si="26"/>
        <v>0.98451700359913907</v>
      </c>
      <c r="AB92">
        <f t="shared" si="27"/>
        <v>0.94791027904111758</v>
      </c>
      <c r="AC92" s="6">
        <f t="shared" si="28"/>
        <v>1.4858333333333336</v>
      </c>
    </row>
    <row r="93" spans="1:29" x14ac:dyDescent="0.2">
      <c r="A93">
        <v>1968.4</v>
      </c>
      <c r="B93" s="2">
        <v>3691.9659999999999</v>
      </c>
      <c r="C93" s="2">
        <v>25.361999999999998</v>
      </c>
      <c r="D93" s="2">
        <v>576.29999999999995</v>
      </c>
      <c r="E93" s="2">
        <v>138.30000000000001</v>
      </c>
      <c r="F93" s="2">
        <v>76498.666666666672</v>
      </c>
      <c r="G93" s="2">
        <f t="shared" si="15"/>
        <v>64.418302414816182</v>
      </c>
      <c r="H93" s="2">
        <v>5.916666666666667</v>
      </c>
      <c r="I93" s="2">
        <v>132880</v>
      </c>
      <c r="J93" s="2">
        <f t="shared" si="16"/>
        <v>0.68841061489656741</v>
      </c>
      <c r="K93" s="2">
        <v>109.9</v>
      </c>
      <c r="L93" s="2">
        <v>21.3</v>
      </c>
      <c r="N93" s="3">
        <f t="shared" si="17"/>
        <v>349.67461627297365</v>
      </c>
      <c r="O93" s="3">
        <f t="shared" si="18"/>
        <v>206.95430429578283</v>
      </c>
      <c r="P93" s="3">
        <f t="shared" si="19"/>
        <v>858.72841815794038</v>
      </c>
      <c r="Q93" s="3">
        <f t="shared" si="20"/>
        <v>463.3168262242562</v>
      </c>
      <c r="R93" s="3">
        <f t="shared" si="23"/>
        <v>1.4056217133587179</v>
      </c>
      <c r="S93" s="3">
        <f t="shared" si="21"/>
        <v>-17.454491809732836</v>
      </c>
      <c r="T93" s="3">
        <f t="shared" si="22"/>
        <v>1.4791666666666667</v>
      </c>
      <c r="V93">
        <f t="shared" si="29"/>
        <v>86</v>
      </c>
      <c r="W93">
        <f t="shared" si="24"/>
        <v>-0.32447756323477961</v>
      </c>
      <c r="X93">
        <f t="shared" si="24"/>
        <v>2.7814704384124127</v>
      </c>
      <c r="Y93">
        <f t="shared" si="24"/>
        <v>-5.4225974633823171E-2</v>
      </c>
      <c r="Z93">
        <f t="shared" si="25"/>
        <v>1.3997590698779163</v>
      </c>
      <c r="AA93">
        <f t="shared" si="26"/>
        <v>1.4056217133587179</v>
      </c>
      <c r="AB93">
        <f t="shared" si="27"/>
        <v>0.49016966110271909</v>
      </c>
      <c r="AC93" s="6">
        <f t="shared" si="28"/>
        <v>1.4791666666666667</v>
      </c>
    </row>
    <row r="94" spans="1:29" x14ac:dyDescent="0.2">
      <c r="A94">
        <v>1969.1</v>
      </c>
      <c r="B94" s="2">
        <v>3750.18</v>
      </c>
      <c r="C94" s="2">
        <v>25.626000000000001</v>
      </c>
      <c r="D94" s="2">
        <v>588.5</v>
      </c>
      <c r="E94" s="2">
        <v>144.19999999999999</v>
      </c>
      <c r="F94" s="2">
        <v>77166.333333333328</v>
      </c>
      <c r="G94" s="2">
        <f t="shared" si="15"/>
        <v>64.980533825110371</v>
      </c>
      <c r="H94" s="2">
        <v>6.5666666666666664</v>
      </c>
      <c r="I94" s="2">
        <v>133476</v>
      </c>
      <c r="J94" s="2">
        <f t="shared" si="16"/>
        <v>0.69149830850341831</v>
      </c>
      <c r="K94" s="2">
        <v>109.8</v>
      </c>
      <c r="L94" s="2">
        <v>21.6</v>
      </c>
      <c r="N94" s="3">
        <f t="shared" si="17"/>
        <v>350.28640396199171</v>
      </c>
      <c r="O94" s="3">
        <f t="shared" si="18"/>
        <v>209.64883377704348</v>
      </c>
      <c r="P94" s="3">
        <f t="shared" si="19"/>
        <v>859.84536918194635</v>
      </c>
      <c r="Q94" s="3">
        <f t="shared" si="20"/>
        <v>463.64726625232856</v>
      </c>
      <c r="R94" s="3">
        <f t="shared" si="23"/>
        <v>1.0355470274676648</v>
      </c>
      <c r="S94" s="3">
        <f t="shared" si="21"/>
        <v>-17.091414639726509</v>
      </c>
      <c r="T94" s="3">
        <f t="shared" si="22"/>
        <v>1.6416666666666666</v>
      </c>
      <c r="V94">
        <f t="shared" si="29"/>
        <v>87</v>
      </c>
      <c r="W94">
        <f t="shared" si="24"/>
        <v>0.61178768901805824</v>
      </c>
      <c r="X94">
        <f t="shared" si="24"/>
        <v>2.6945294812606448</v>
      </c>
      <c r="Y94">
        <f t="shared" si="24"/>
        <v>1.1169510240059708</v>
      </c>
      <c r="Z94">
        <f t="shared" si="25"/>
        <v>1.7301990979502762</v>
      </c>
      <c r="AA94">
        <f t="shared" si="26"/>
        <v>1.0355470274676648</v>
      </c>
      <c r="AB94">
        <f t="shared" si="27"/>
        <v>0.36307717000632778</v>
      </c>
      <c r="AC94" s="6">
        <f t="shared" si="28"/>
        <v>1.6416666666666666</v>
      </c>
    </row>
    <row r="95" spans="1:29" x14ac:dyDescent="0.2">
      <c r="A95">
        <v>1969.2</v>
      </c>
      <c r="B95" s="2">
        <v>3760.8809999999999</v>
      </c>
      <c r="C95" s="2">
        <v>25.957999999999998</v>
      </c>
      <c r="D95" s="2">
        <v>599.9</v>
      </c>
      <c r="E95" s="2">
        <v>146.4</v>
      </c>
      <c r="F95" s="2">
        <v>77605</v>
      </c>
      <c r="G95" s="2">
        <f t="shared" si="15"/>
        <v>65.349928001818895</v>
      </c>
      <c r="H95" s="2">
        <v>8.3266666666666662</v>
      </c>
      <c r="I95" s="2">
        <v>134020.33333333334</v>
      </c>
      <c r="J95" s="2">
        <f t="shared" si="16"/>
        <v>0.69431833292175604</v>
      </c>
      <c r="K95" s="2">
        <v>109.7</v>
      </c>
      <c r="L95" s="2">
        <v>21.9</v>
      </c>
      <c r="N95" s="3">
        <f t="shared" si="17"/>
        <v>350.5107858065445</v>
      </c>
      <c r="O95" s="3">
        <f t="shared" si="18"/>
        <v>209.46874849336089</v>
      </c>
      <c r="P95" s="3">
        <f t="shared" si="19"/>
        <v>859.72332481205922</v>
      </c>
      <c r="Q95" s="3">
        <f t="shared" si="20"/>
        <v>463.71602503027606</v>
      </c>
      <c r="R95" s="3">
        <f t="shared" si="23"/>
        <v>1.2872386178182538</v>
      </c>
      <c r="S95" s="3">
        <f t="shared" si="21"/>
        <v>-16.999321044311205</v>
      </c>
      <c r="T95" s="3">
        <f t="shared" si="22"/>
        <v>2.0816666666666666</v>
      </c>
      <c r="V95">
        <f t="shared" si="29"/>
        <v>88</v>
      </c>
      <c r="W95">
        <f t="shared" si="24"/>
        <v>0.22438184455279497</v>
      </c>
      <c r="X95">
        <f t="shared" si="24"/>
        <v>-0.18008528368258681</v>
      </c>
      <c r="Y95">
        <f t="shared" si="24"/>
        <v>-0.12204436988713496</v>
      </c>
      <c r="Z95">
        <f t="shared" si="25"/>
        <v>1.79895787589777</v>
      </c>
      <c r="AA95">
        <f t="shared" si="26"/>
        <v>1.2872386178182538</v>
      </c>
      <c r="AB95">
        <f t="shared" si="27"/>
        <v>9.2093595415303042E-2</v>
      </c>
      <c r="AC95" s="6">
        <f t="shared" si="28"/>
        <v>2.0816666666666666</v>
      </c>
    </row>
    <row r="96" spans="1:29" x14ac:dyDescent="0.2">
      <c r="A96">
        <v>1969.3</v>
      </c>
      <c r="B96" s="2">
        <v>3784.2449999999999</v>
      </c>
      <c r="C96" s="2">
        <v>26.332000000000001</v>
      </c>
      <c r="D96" s="2">
        <v>610.20000000000005</v>
      </c>
      <c r="E96" s="2">
        <v>150.1</v>
      </c>
      <c r="F96" s="2">
        <v>78153</v>
      </c>
      <c r="G96" s="2">
        <f t="shared" si="15"/>
        <v>65.811390028041387</v>
      </c>
      <c r="H96" s="2">
        <v>8.9833333333333325</v>
      </c>
      <c r="I96" s="2">
        <v>134595</v>
      </c>
      <c r="J96" s="2">
        <f t="shared" si="16"/>
        <v>0.69729550505722071</v>
      </c>
      <c r="K96" s="2">
        <v>109.4</v>
      </c>
      <c r="L96" s="2">
        <v>22.3</v>
      </c>
      <c r="N96" s="3">
        <f t="shared" si="17"/>
        <v>350.35478336636714</v>
      </c>
      <c r="O96" s="3">
        <f t="shared" si="18"/>
        <v>210.10628000205179</v>
      </c>
      <c r="P96" s="3">
        <f t="shared" si="19"/>
        <v>859.91476653627603</v>
      </c>
      <c r="Q96" s="3">
        <f t="shared" si="20"/>
        <v>463.71796190677026</v>
      </c>
      <c r="R96" s="3">
        <f t="shared" si="23"/>
        <v>1.4305082340063002</v>
      </c>
      <c r="S96" s="3">
        <f t="shared" si="21"/>
        <v>-16.619825113955724</v>
      </c>
      <c r="T96" s="3">
        <f t="shared" si="22"/>
        <v>2.2458333333333331</v>
      </c>
      <c r="V96">
        <f t="shared" si="29"/>
        <v>89</v>
      </c>
      <c r="W96">
        <f t="shared" si="24"/>
        <v>-0.15600244017736031</v>
      </c>
      <c r="X96">
        <f t="shared" si="24"/>
        <v>0.63753150869089836</v>
      </c>
      <c r="Y96">
        <f t="shared" si="24"/>
        <v>0.1914417242168156</v>
      </c>
      <c r="Z96">
        <f t="shared" si="25"/>
        <v>1.8008947523919687</v>
      </c>
      <c r="AA96">
        <f t="shared" si="26"/>
        <v>1.4305082340063002</v>
      </c>
      <c r="AB96">
        <f t="shared" si="27"/>
        <v>0.3794959303554819</v>
      </c>
      <c r="AC96" s="6">
        <f t="shared" si="28"/>
        <v>2.2458333333333331</v>
      </c>
    </row>
    <row r="97" spans="1:29" x14ac:dyDescent="0.2">
      <c r="A97">
        <v>1969.4</v>
      </c>
      <c r="B97" s="2">
        <v>3766.28</v>
      </c>
      <c r="C97" s="2">
        <v>26.675000000000001</v>
      </c>
      <c r="D97" s="2">
        <v>622.20000000000005</v>
      </c>
      <c r="E97" s="2">
        <v>148.30000000000001</v>
      </c>
      <c r="F97" s="2">
        <v>78575.333333333328</v>
      </c>
      <c r="G97" s="2">
        <f t="shared" si="15"/>
        <v>66.167030166255444</v>
      </c>
      <c r="H97" s="2">
        <v>8.94</v>
      </c>
      <c r="I97" s="2">
        <v>135246.66666666666</v>
      </c>
      <c r="J97" s="2">
        <f t="shared" si="16"/>
        <v>0.70067159062846995</v>
      </c>
      <c r="K97" s="2">
        <v>109</v>
      </c>
      <c r="L97" s="2">
        <v>22.7</v>
      </c>
      <c r="N97" s="3">
        <f t="shared" si="17"/>
        <v>350.52507759755088</v>
      </c>
      <c r="O97" s="3">
        <f t="shared" si="18"/>
        <v>207.12264406558586</v>
      </c>
      <c r="P97" s="3">
        <f t="shared" si="19"/>
        <v>858.95590445954838</v>
      </c>
      <c r="Q97" s="3">
        <f t="shared" si="20"/>
        <v>463.4075990081443</v>
      </c>
      <c r="R97" s="3">
        <f t="shared" si="23"/>
        <v>1.2941867582187072</v>
      </c>
      <c r="S97" s="3">
        <f t="shared" si="21"/>
        <v>-16.136187270046019</v>
      </c>
      <c r="T97" s="3">
        <f t="shared" si="22"/>
        <v>2.2349999999999999</v>
      </c>
      <c r="V97">
        <f t="shared" si="29"/>
        <v>90</v>
      </c>
      <c r="W97">
        <f t="shared" si="24"/>
        <v>0.17029423118373188</v>
      </c>
      <c r="X97">
        <f t="shared" si="24"/>
        <v>-2.9836359364659302</v>
      </c>
      <c r="Y97">
        <f t="shared" si="24"/>
        <v>-0.95886207672765522</v>
      </c>
      <c r="Z97">
        <f t="shared" si="25"/>
        <v>1.490531853766015</v>
      </c>
      <c r="AA97">
        <f t="shared" si="26"/>
        <v>1.2941867582187072</v>
      </c>
      <c r="AB97">
        <f t="shared" si="27"/>
        <v>0.48363784390970466</v>
      </c>
      <c r="AC97" s="6">
        <f t="shared" si="28"/>
        <v>2.2349999999999999</v>
      </c>
    </row>
    <row r="98" spans="1:29" x14ac:dyDescent="0.2">
      <c r="A98">
        <v>1970.1</v>
      </c>
      <c r="B98" s="2">
        <v>3759.9969999999998</v>
      </c>
      <c r="C98" s="2">
        <v>27.056000000000001</v>
      </c>
      <c r="D98" s="2">
        <v>633.29999999999995</v>
      </c>
      <c r="E98" s="2">
        <v>148.80000000000001</v>
      </c>
      <c r="F98" s="2">
        <v>78780.333333333328</v>
      </c>
      <c r="G98" s="2">
        <f t="shared" si="15"/>
        <v>66.339657384094153</v>
      </c>
      <c r="H98" s="2">
        <v>8.5733333333333324</v>
      </c>
      <c r="I98" s="2">
        <v>135949.66666666666</v>
      </c>
      <c r="J98" s="2">
        <f t="shared" si="16"/>
        <v>0.7043136184902421</v>
      </c>
      <c r="K98" s="2">
        <v>108.5</v>
      </c>
      <c r="L98" s="2">
        <v>23.2</v>
      </c>
      <c r="N98" s="3">
        <f t="shared" si="17"/>
        <v>350.35669925773686</v>
      </c>
      <c r="O98" s="3">
        <f t="shared" si="18"/>
        <v>205.52258714539758</v>
      </c>
      <c r="P98" s="3">
        <f t="shared" si="19"/>
        <v>858.2704979722489</v>
      </c>
      <c r="Q98" s="3">
        <f t="shared" si="20"/>
        <v>462.68993971643442</v>
      </c>
      <c r="R98" s="3">
        <f t="shared" si="23"/>
        <v>1.4181994968407441</v>
      </c>
      <c r="S98" s="3">
        <f t="shared" si="21"/>
        <v>-15.375651348396028</v>
      </c>
      <c r="T98" s="3">
        <f t="shared" si="22"/>
        <v>2.1433333333333331</v>
      </c>
      <c r="V98">
        <f t="shared" si="29"/>
        <v>91</v>
      </c>
      <c r="W98">
        <f t="shared" si="24"/>
        <v>-0.16837833981401218</v>
      </c>
      <c r="X98">
        <f t="shared" si="24"/>
        <v>-1.6000569201882797</v>
      </c>
      <c r="Y98">
        <f t="shared" si="24"/>
        <v>-0.68540648729947407</v>
      </c>
      <c r="Z98">
        <f t="shared" si="25"/>
        <v>0.7728725620561363</v>
      </c>
      <c r="AA98">
        <f t="shared" si="26"/>
        <v>1.4181994968407441</v>
      </c>
      <c r="AB98">
        <f t="shared" si="27"/>
        <v>0.76053592164999095</v>
      </c>
      <c r="AC98" s="6">
        <f t="shared" si="28"/>
        <v>2.1433333333333331</v>
      </c>
    </row>
    <row r="99" spans="1:29" x14ac:dyDescent="0.2">
      <c r="A99">
        <v>1970.2</v>
      </c>
      <c r="B99" s="2">
        <v>3767.0659999999998</v>
      </c>
      <c r="C99" s="2">
        <v>27.428000000000001</v>
      </c>
      <c r="D99" s="2">
        <v>643.29999999999995</v>
      </c>
      <c r="E99" s="2">
        <v>148.80000000000001</v>
      </c>
      <c r="F99" s="2">
        <v>78635.666666666672</v>
      </c>
      <c r="G99" s="2">
        <f t="shared" si="15"/>
        <v>66.217835900286033</v>
      </c>
      <c r="H99" s="2">
        <v>7.88</v>
      </c>
      <c r="I99" s="2">
        <v>136676.66666666666</v>
      </c>
      <c r="J99" s="2">
        <f t="shared" si="16"/>
        <v>0.70807998300732367</v>
      </c>
      <c r="K99" s="2">
        <v>107.7</v>
      </c>
      <c r="L99" s="2">
        <v>23.5</v>
      </c>
      <c r="N99" s="3">
        <f t="shared" si="17"/>
        <v>350.02450103145958</v>
      </c>
      <c r="O99" s="3">
        <f t="shared" si="18"/>
        <v>203.62369542966329</v>
      </c>
      <c r="P99" s="3">
        <f t="shared" si="19"/>
        <v>857.92499494317178</v>
      </c>
      <c r="Q99" s="3">
        <f t="shared" si="20"/>
        <v>461.23274706243376</v>
      </c>
      <c r="R99" s="3">
        <f t="shared" si="23"/>
        <v>1.365559726589316</v>
      </c>
      <c r="S99" s="3">
        <f t="shared" si="21"/>
        <v>-15.456396827200475</v>
      </c>
      <c r="T99" s="3">
        <f t="shared" si="22"/>
        <v>1.97</v>
      </c>
      <c r="V99">
        <f t="shared" si="29"/>
        <v>92</v>
      </c>
      <c r="W99">
        <f t="shared" si="24"/>
        <v>-0.3321982262772849</v>
      </c>
      <c r="X99">
        <f t="shared" si="24"/>
        <v>-1.8988917157342939</v>
      </c>
      <c r="Y99">
        <f t="shared" si="24"/>
        <v>-0.34550302907712194</v>
      </c>
      <c r="Z99">
        <f t="shared" si="25"/>
        <v>-0.68432009194452803</v>
      </c>
      <c r="AA99">
        <f t="shared" si="26"/>
        <v>1.365559726589316</v>
      </c>
      <c r="AB99">
        <f t="shared" si="27"/>
        <v>-8.0745478804447046E-2</v>
      </c>
      <c r="AC99" s="6">
        <f t="shared" si="28"/>
        <v>1.97</v>
      </c>
    </row>
    <row r="100" spans="1:29" x14ac:dyDescent="0.2">
      <c r="A100">
        <v>1970.3</v>
      </c>
      <c r="B100" s="2">
        <v>3800.5410000000002</v>
      </c>
      <c r="C100" s="2">
        <v>27.646999999999998</v>
      </c>
      <c r="D100" s="2">
        <v>655.29999999999995</v>
      </c>
      <c r="E100" s="2">
        <v>151</v>
      </c>
      <c r="F100" s="2">
        <v>78616</v>
      </c>
      <c r="G100" s="2">
        <f t="shared" si="15"/>
        <v>66.201274915160042</v>
      </c>
      <c r="H100" s="2">
        <v>6.7033333333333331</v>
      </c>
      <c r="I100" s="2">
        <v>137456</v>
      </c>
      <c r="J100" s="2">
        <f t="shared" si="16"/>
        <v>0.71211747050889951</v>
      </c>
      <c r="K100" s="2">
        <v>107.3</v>
      </c>
      <c r="L100" s="2">
        <v>24</v>
      </c>
      <c r="N100" s="3">
        <f t="shared" si="17"/>
        <v>350.5088317568563</v>
      </c>
      <c r="O100" s="3">
        <f t="shared" si="18"/>
        <v>203.72750083380367</v>
      </c>
      <c r="P100" s="3">
        <f t="shared" si="19"/>
        <v>858.24110985112702</v>
      </c>
      <c r="Q100" s="3">
        <f t="shared" si="20"/>
        <v>460.26705794524042</v>
      </c>
      <c r="R100" s="3">
        <f t="shared" si="23"/>
        <v>0.79528335639325043</v>
      </c>
      <c r="S100" s="3">
        <f t="shared" si="21"/>
        <v>-14.146339263810463</v>
      </c>
      <c r="T100" s="3">
        <f t="shared" si="22"/>
        <v>1.6758333333333333</v>
      </c>
      <c r="V100">
        <f t="shared" si="29"/>
        <v>93</v>
      </c>
      <c r="W100">
        <f t="shared" si="24"/>
        <v>0.48433072539671684</v>
      </c>
      <c r="X100">
        <f t="shared" si="24"/>
        <v>0.10380540414038819</v>
      </c>
      <c r="Y100">
        <f t="shared" si="24"/>
        <v>0.31611490795523878</v>
      </c>
      <c r="Z100">
        <f t="shared" si="25"/>
        <v>-1.6500092091378633</v>
      </c>
      <c r="AA100">
        <f t="shared" si="26"/>
        <v>0.79528335639325043</v>
      </c>
      <c r="AB100">
        <f t="shared" si="27"/>
        <v>1.3100575633900124</v>
      </c>
      <c r="AC100" s="6">
        <f t="shared" si="28"/>
        <v>1.6758333333333333</v>
      </c>
    </row>
    <row r="101" spans="1:29" x14ac:dyDescent="0.2">
      <c r="A101">
        <v>1970.4</v>
      </c>
      <c r="B101" s="2">
        <v>3759.8009999999999</v>
      </c>
      <c r="C101" s="2">
        <v>28.004000000000001</v>
      </c>
      <c r="D101" s="2">
        <v>662</v>
      </c>
      <c r="E101" s="2">
        <v>152.9</v>
      </c>
      <c r="F101" s="2">
        <v>78643</v>
      </c>
      <c r="G101" s="2">
        <f t="shared" si="15"/>
        <v>66.224011182875373</v>
      </c>
      <c r="H101" s="2">
        <v>5.5666666666666673</v>
      </c>
      <c r="I101" s="2">
        <v>138260.33333333334</v>
      </c>
      <c r="J101" s="2">
        <f t="shared" si="16"/>
        <v>0.71628447535975603</v>
      </c>
      <c r="K101" s="2">
        <v>107.2</v>
      </c>
      <c r="L101" s="2">
        <v>24.2</v>
      </c>
      <c r="N101" s="3">
        <f t="shared" si="17"/>
        <v>349.65960777960771</v>
      </c>
      <c r="O101" s="3">
        <f t="shared" si="18"/>
        <v>203.11146347940854</v>
      </c>
      <c r="P101" s="3">
        <f t="shared" si="19"/>
        <v>856.57991884254386</v>
      </c>
      <c r="Q101" s="3">
        <f t="shared" si="20"/>
        <v>459.62470454933822</v>
      </c>
      <c r="R101" s="3">
        <f t="shared" si="23"/>
        <v>1.2830134128900994</v>
      </c>
      <c r="S101" s="3">
        <f t="shared" si="21"/>
        <v>-14.599472395231047</v>
      </c>
      <c r="T101" s="3">
        <f t="shared" si="22"/>
        <v>1.3916666666666668</v>
      </c>
      <c r="V101">
        <f t="shared" si="29"/>
        <v>94</v>
      </c>
      <c r="W101">
        <f t="shared" si="24"/>
        <v>-0.84922397724858456</v>
      </c>
      <c r="X101">
        <f t="shared" si="24"/>
        <v>-0.6160373543951323</v>
      </c>
      <c r="Y101">
        <f t="shared" si="24"/>
        <v>-1.6611910085831596</v>
      </c>
      <c r="Z101">
        <f t="shared" si="25"/>
        <v>-2.2923626050400685</v>
      </c>
      <c r="AA101">
        <f t="shared" si="26"/>
        <v>1.2830134128900994</v>
      </c>
      <c r="AB101">
        <f t="shared" si="27"/>
        <v>-0.45313313142058398</v>
      </c>
      <c r="AC101" s="6">
        <f t="shared" si="28"/>
        <v>1.3916666666666668</v>
      </c>
    </row>
    <row r="102" spans="1:29" x14ac:dyDescent="0.2">
      <c r="A102">
        <v>1971.1</v>
      </c>
      <c r="B102" s="2">
        <v>3864.0569999999998</v>
      </c>
      <c r="C102" s="2">
        <v>28.425000000000001</v>
      </c>
      <c r="D102" s="2">
        <v>681</v>
      </c>
      <c r="E102" s="2">
        <v>159</v>
      </c>
      <c r="F102" s="2">
        <v>78717.333333333328</v>
      </c>
      <c r="G102" s="2">
        <f t="shared" si="15"/>
        <v>66.286606092758348</v>
      </c>
      <c r="H102" s="2">
        <v>3.8566666666666669</v>
      </c>
      <c r="I102" s="2">
        <v>139033.66666666666</v>
      </c>
      <c r="J102" s="2">
        <f t="shared" si="16"/>
        <v>0.72029087869750441</v>
      </c>
      <c r="K102" s="2">
        <v>107.3</v>
      </c>
      <c r="L102" s="2">
        <v>24.7</v>
      </c>
      <c r="N102" s="3">
        <f t="shared" si="17"/>
        <v>350.43934168792663</v>
      </c>
      <c r="O102" s="3">
        <f t="shared" si="18"/>
        <v>204.97353129499859</v>
      </c>
      <c r="P102" s="3">
        <f t="shared" si="19"/>
        <v>858.75730971427549</v>
      </c>
      <c r="Q102" s="3">
        <f t="shared" si="20"/>
        <v>459.2546471080932</v>
      </c>
      <c r="R102" s="3">
        <f t="shared" si="23"/>
        <v>1.4921682521648272</v>
      </c>
      <c r="S102" s="3">
        <f t="shared" si="21"/>
        <v>-14.046579600266831</v>
      </c>
      <c r="T102" s="3">
        <f t="shared" si="22"/>
        <v>0.96416666666666673</v>
      </c>
      <c r="V102">
        <f t="shared" si="29"/>
        <v>95</v>
      </c>
      <c r="W102">
        <f t="shared" si="24"/>
        <v>0.7797339083189172</v>
      </c>
      <c r="X102">
        <f t="shared" si="24"/>
        <v>1.8620678155900521</v>
      </c>
      <c r="Y102">
        <f t="shared" si="24"/>
        <v>2.1773908717316317</v>
      </c>
      <c r="Z102">
        <f t="shared" si="25"/>
        <v>-2.6624200462850922</v>
      </c>
      <c r="AA102">
        <f t="shared" si="26"/>
        <v>1.4921682521648272</v>
      </c>
      <c r="AB102">
        <f t="shared" si="27"/>
        <v>0.55289279496421528</v>
      </c>
      <c r="AC102" s="6">
        <f t="shared" si="28"/>
        <v>0.96416666666666673</v>
      </c>
    </row>
    <row r="103" spans="1:29" x14ac:dyDescent="0.2">
      <c r="A103">
        <v>1971.2</v>
      </c>
      <c r="B103" s="2">
        <v>3885.8510000000001</v>
      </c>
      <c r="C103" s="2">
        <v>28.797999999999998</v>
      </c>
      <c r="D103" s="2">
        <v>695.1</v>
      </c>
      <c r="E103" s="2">
        <v>167.9</v>
      </c>
      <c r="F103" s="2">
        <v>78961</v>
      </c>
      <c r="G103" s="2">
        <f t="shared" si="15"/>
        <v>66.491793891522747</v>
      </c>
      <c r="H103" s="2">
        <v>4.5633333333333335</v>
      </c>
      <c r="I103" s="2">
        <v>139827.33333333334</v>
      </c>
      <c r="J103" s="2">
        <f t="shared" si="16"/>
        <v>0.72440262281266787</v>
      </c>
      <c r="K103" s="2">
        <v>107.2</v>
      </c>
      <c r="L103" s="2">
        <v>25.1</v>
      </c>
      <c r="N103" s="3">
        <f t="shared" si="17"/>
        <v>350.6157712130734</v>
      </c>
      <c r="O103" s="3">
        <f t="shared" si="18"/>
        <v>208.54705561077887</v>
      </c>
      <c r="P103" s="3">
        <f t="shared" si="19"/>
        <v>858.75052187437416</v>
      </c>
      <c r="Q103" s="3">
        <f t="shared" si="20"/>
        <v>458.90125348788916</v>
      </c>
      <c r="R103" s="3">
        <f t="shared" si="23"/>
        <v>1.3036900649479044</v>
      </c>
      <c r="S103" s="3">
        <f t="shared" si="21"/>
        <v>-13.743809414834034</v>
      </c>
      <c r="T103" s="3">
        <f t="shared" si="22"/>
        <v>1.1408333333333334</v>
      </c>
      <c r="V103">
        <f t="shared" si="29"/>
        <v>96</v>
      </c>
      <c r="W103">
        <f t="shared" si="24"/>
        <v>0.1764295251467729</v>
      </c>
      <c r="X103">
        <f t="shared" si="24"/>
        <v>3.5735243157802756</v>
      </c>
      <c r="Y103">
        <f t="shared" si="24"/>
        <v>-6.7878399013352464E-3</v>
      </c>
      <c r="Z103">
        <f t="shared" si="25"/>
        <v>-3.0158136664891231</v>
      </c>
      <c r="AA103">
        <f t="shared" si="26"/>
        <v>1.3036900649479044</v>
      </c>
      <c r="AB103">
        <f t="shared" si="27"/>
        <v>0.30277018543279688</v>
      </c>
      <c r="AC103" s="6">
        <f t="shared" si="28"/>
        <v>1.1408333333333334</v>
      </c>
    </row>
    <row r="104" spans="1:29" x14ac:dyDescent="0.2">
      <c r="A104">
        <v>1971.3</v>
      </c>
      <c r="B104" s="2">
        <v>3916.6759999999999</v>
      </c>
      <c r="C104" s="2">
        <v>29.088999999999999</v>
      </c>
      <c r="D104" s="2">
        <v>707.5</v>
      </c>
      <c r="E104" s="2">
        <v>173.2</v>
      </c>
      <c r="F104" s="2">
        <v>79511</v>
      </c>
      <c r="G104" s="2">
        <f t="shared" si="15"/>
        <v>66.954940085724147</v>
      </c>
      <c r="H104" s="2">
        <v>5.4733333333333327</v>
      </c>
      <c r="I104" s="2">
        <v>140602.66666666666</v>
      </c>
      <c r="J104" s="2">
        <f t="shared" si="16"/>
        <v>0.72841938753835866</v>
      </c>
      <c r="K104" s="2">
        <v>107</v>
      </c>
      <c r="L104" s="2">
        <v>25.4</v>
      </c>
      <c r="N104" s="3">
        <f t="shared" si="17"/>
        <v>350.82558485488067</v>
      </c>
      <c r="O104" s="3">
        <f t="shared" si="18"/>
        <v>210.0965215159749</v>
      </c>
      <c r="P104" s="3">
        <f t="shared" si="19"/>
        <v>858.9876928753481</v>
      </c>
      <c r="Q104" s="3">
        <f t="shared" si="20"/>
        <v>458.85568204504079</v>
      </c>
      <c r="R104" s="3">
        <f t="shared" si="23"/>
        <v>1.0054155555908384</v>
      </c>
      <c r="S104" s="3">
        <f t="shared" si="21"/>
        <v>-13.561092181749624</v>
      </c>
      <c r="T104" s="3">
        <f t="shared" si="22"/>
        <v>1.3683333333333332</v>
      </c>
      <c r="V104">
        <f t="shared" si="29"/>
        <v>97</v>
      </c>
      <c r="W104">
        <f t="shared" si="24"/>
        <v>0.20981364180727269</v>
      </c>
      <c r="X104">
        <f t="shared" si="24"/>
        <v>1.5494659051960298</v>
      </c>
      <c r="Y104">
        <f t="shared" si="24"/>
        <v>0.2371710009739445</v>
      </c>
      <c r="Z104">
        <f t="shared" si="25"/>
        <v>-3.0613851093374933</v>
      </c>
      <c r="AA104">
        <f t="shared" si="26"/>
        <v>1.0054155555908384</v>
      </c>
      <c r="AB104">
        <f t="shared" si="27"/>
        <v>0.18271723308441068</v>
      </c>
      <c r="AC104" s="6">
        <f t="shared" si="28"/>
        <v>1.3683333333333332</v>
      </c>
    </row>
    <row r="105" spans="1:29" x14ac:dyDescent="0.2">
      <c r="A105">
        <v>1971.4</v>
      </c>
      <c r="B105" s="2">
        <v>3927.8670000000002</v>
      </c>
      <c r="C105" s="2">
        <v>29.321999999999999</v>
      </c>
      <c r="D105" s="2">
        <v>723.8</v>
      </c>
      <c r="E105" s="2">
        <v>179.5</v>
      </c>
      <c r="F105" s="2">
        <v>80228.666666666672</v>
      </c>
      <c r="G105" s="2">
        <f t="shared" si="15"/>
        <v>67.559275695491209</v>
      </c>
      <c r="H105" s="2">
        <v>4.75</v>
      </c>
      <c r="I105" s="2">
        <v>141401.66666666666</v>
      </c>
      <c r="J105" s="2">
        <f t="shared" si="16"/>
        <v>0.7325587620213686</v>
      </c>
      <c r="K105" s="2">
        <v>107.4</v>
      </c>
      <c r="L105" s="2">
        <v>25.6</v>
      </c>
      <c r="N105" s="3">
        <f t="shared" si="17"/>
        <v>351.73887437324498</v>
      </c>
      <c r="O105" s="3">
        <f t="shared" si="18"/>
        <v>212.30488405311414</v>
      </c>
      <c r="P105" s="3">
        <f t="shared" si="19"/>
        <v>858.70635295495231</v>
      </c>
      <c r="Q105" s="3">
        <f t="shared" si="20"/>
        <v>459.56070871802115</v>
      </c>
      <c r="R105" s="3">
        <f t="shared" si="23"/>
        <v>0.79779916740858603</v>
      </c>
      <c r="S105" s="3">
        <f t="shared" si="21"/>
        <v>-13.574573603055592</v>
      </c>
      <c r="T105" s="3">
        <f t="shared" si="22"/>
        <v>1.1875</v>
      </c>
      <c r="V105">
        <f t="shared" si="29"/>
        <v>98</v>
      </c>
      <c r="W105">
        <f t="shared" si="24"/>
        <v>0.91328951836430861</v>
      </c>
      <c r="X105">
        <f t="shared" si="24"/>
        <v>2.2083625371392372</v>
      </c>
      <c r="Y105">
        <f t="shared" si="24"/>
        <v>-0.28133992039579425</v>
      </c>
      <c r="Z105">
        <f t="shared" si="25"/>
        <v>-2.3563584363571408</v>
      </c>
      <c r="AA105">
        <f t="shared" si="26"/>
        <v>0.79779916740858603</v>
      </c>
      <c r="AB105">
        <f t="shared" si="27"/>
        <v>-1.3481421305968411E-2</v>
      </c>
      <c r="AC105" s="6">
        <f t="shared" si="28"/>
        <v>1.1875</v>
      </c>
    </row>
    <row r="106" spans="1:29" x14ac:dyDescent="0.2">
      <c r="A106">
        <v>1972.1</v>
      </c>
      <c r="B106" s="2">
        <v>3997.6660000000002</v>
      </c>
      <c r="C106" s="2">
        <v>29.780999999999999</v>
      </c>
      <c r="D106" s="2">
        <v>741.2</v>
      </c>
      <c r="E106" s="2">
        <v>189.9</v>
      </c>
      <c r="F106" s="2">
        <v>81213.333333333328</v>
      </c>
      <c r="G106" s="2">
        <f t="shared" si="15"/>
        <v>68.388447730443303</v>
      </c>
      <c r="H106" s="2">
        <v>3.54</v>
      </c>
      <c r="I106" s="2">
        <v>143005.33333333334</v>
      </c>
      <c r="J106" s="2">
        <f t="shared" si="16"/>
        <v>0.74086686825322545</v>
      </c>
      <c r="K106" s="2">
        <v>107.5</v>
      </c>
      <c r="L106" s="2">
        <v>26.3</v>
      </c>
      <c r="N106" s="3">
        <f t="shared" si="17"/>
        <v>351.43342229386502</v>
      </c>
      <c r="O106" s="3">
        <f t="shared" si="18"/>
        <v>215.25613463456855</v>
      </c>
      <c r="P106" s="3">
        <f t="shared" si="19"/>
        <v>859.34003046027919</v>
      </c>
      <c r="Q106" s="3">
        <f t="shared" si="20"/>
        <v>459.74589139174941</v>
      </c>
      <c r="R106" s="3">
        <f t="shared" si="23"/>
        <v>1.5532518759621361</v>
      </c>
      <c r="S106" s="3">
        <f t="shared" si="21"/>
        <v>-12.430166709197552</v>
      </c>
      <c r="T106" s="3">
        <f t="shared" si="22"/>
        <v>0.88500000000000001</v>
      </c>
      <c r="V106">
        <f t="shared" si="29"/>
        <v>99</v>
      </c>
      <c r="W106">
        <f t="shared" si="24"/>
        <v>-0.30545207937996111</v>
      </c>
      <c r="X106">
        <f t="shared" si="24"/>
        <v>2.951250581454417</v>
      </c>
      <c r="Y106">
        <f t="shared" si="24"/>
        <v>0.6336775053268866</v>
      </c>
      <c r="Z106">
        <f t="shared" si="25"/>
        <v>-2.1711757626288772</v>
      </c>
      <c r="AA106">
        <f t="shared" si="26"/>
        <v>1.5532518759621361</v>
      </c>
      <c r="AB106">
        <f t="shared" si="27"/>
        <v>1.1444068938580401</v>
      </c>
      <c r="AC106" s="6">
        <f t="shared" si="28"/>
        <v>0.88500000000000001</v>
      </c>
    </row>
    <row r="107" spans="1:29" x14ac:dyDescent="0.2">
      <c r="A107">
        <v>1972.2</v>
      </c>
      <c r="B107" s="2">
        <v>4092.105</v>
      </c>
      <c r="C107" s="2">
        <v>29.959</v>
      </c>
      <c r="D107" s="2">
        <v>759.8</v>
      </c>
      <c r="E107" s="2">
        <v>194.5</v>
      </c>
      <c r="F107" s="2">
        <v>81875</v>
      </c>
      <c r="G107" s="2">
        <f t="shared" si="15"/>
        <v>68.945626636800753</v>
      </c>
      <c r="H107" s="2">
        <v>4.3</v>
      </c>
      <c r="I107" s="2">
        <v>143758.66666666666</v>
      </c>
      <c r="J107" s="2">
        <f t="shared" si="16"/>
        <v>0.74476965771154924</v>
      </c>
      <c r="K107" s="2">
        <v>107.5</v>
      </c>
      <c r="L107" s="2">
        <v>26.6</v>
      </c>
      <c r="N107" s="3">
        <f t="shared" si="17"/>
        <v>352.7905753188366</v>
      </c>
      <c r="O107" s="3">
        <f t="shared" si="18"/>
        <v>216.52826754933417</v>
      </c>
      <c r="P107" s="3">
        <f t="shared" si="19"/>
        <v>861.14950792560467</v>
      </c>
      <c r="Q107" s="3">
        <f t="shared" si="20"/>
        <v>460.03191284592873</v>
      </c>
      <c r="R107" s="3">
        <f t="shared" si="23"/>
        <v>0.59591739791557963</v>
      </c>
      <c r="S107" s="3">
        <f t="shared" si="21"/>
        <v>-11.891856446719668</v>
      </c>
      <c r="T107" s="3">
        <f t="shared" si="22"/>
        <v>1.075</v>
      </c>
      <c r="V107">
        <f t="shared" si="29"/>
        <v>100</v>
      </c>
      <c r="W107">
        <f t="shared" si="24"/>
        <v>1.3571530249715806</v>
      </c>
      <c r="X107">
        <f t="shared" si="24"/>
        <v>1.2721329147656206</v>
      </c>
      <c r="Y107">
        <f t="shared" si="24"/>
        <v>1.8094774653254717</v>
      </c>
      <c r="Z107">
        <f t="shared" si="25"/>
        <v>-1.8851543084495574</v>
      </c>
      <c r="AA107">
        <f t="shared" si="26"/>
        <v>0.59591739791557963</v>
      </c>
      <c r="AB107">
        <f t="shared" si="27"/>
        <v>0.53831026247788394</v>
      </c>
      <c r="AC107" s="6">
        <f t="shared" si="28"/>
        <v>1.075</v>
      </c>
    </row>
    <row r="108" spans="1:29" x14ac:dyDescent="0.2">
      <c r="A108">
        <v>1972.3</v>
      </c>
      <c r="B108" s="2">
        <v>4131.0789999999997</v>
      </c>
      <c r="C108" s="2">
        <v>30.25</v>
      </c>
      <c r="D108" s="2">
        <v>778.3</v>
      </c>
      <c r="E108" s="2">
        <v>198.6</v>
      </c>
      <c r="F108" s="2">
        <v>82450.333333333328</v>
      </c>
      <c r="G108" s="2">
        <f t="shared" si="15"/>
        <v>69.430105625401737</v>
      </c>
      <c r="H108" s="2">
        <v>4.74</v>
      </c>
      <c r="I108" s="2">
        <v>144522.66666666666</v>
      </c>
      <c r="J108" s="2">
        <f t="shared" si="16"/>
        <v>0.7487277079055662</v>
      </c>
      <c r="K108" s="2">
        <v>107.4</v>
      </c>
      <c r="L108" s="2">
        <v>27</v>
      </c>
      <c r="N108" s="3">
        <f t="shared" si="17"/>
        <v>353.69957718974445</v>
      </c>
      <c r="O108" s="3">
        <f t="shared" si="18"/>
        <v>217.11764695431742</v>
      </c>
      <c r="P108" s="3">
        <f t="shared" si="19"/>
        <v>861.56738133217243</v>
      </c>
      <c r="Q108" s="3">
        <f t="shared" si="20"/>
        <v>460.10904705818706</v>
      </c>
      <c r="R108" s="3">
        <f t="shared" si="23"/>
        <v>0.96664042220004909</v>
      </c>
      <c r="S108" s="3">
        <f t="shared" si="21"/>
        <v>-11.365931847252137</v>
      </c>
      <c r="T108" s="3">
        <f t="shared" si="22"/>
        <v>1.1850000000000001</v>
      </c>
      <c r="V108">
        <f t="shared" si="29"/>
        <v>101</v>
      </c>
      <c r="W108">
        <f t="shared" si="24"/>
        <v>0.90900187090784357</v>
      </c>
      <c r="X108">
        <f t="shared" si="24"/>
        <v>0.58937940498324792</v>
      </c>
      <c r="Y108">
        <f t="shared" si="24"/>
        <v>0.4178734065677645</v>
      </c>
      <c r="Z108">
        <f t="shared" si="25"/>
        <v>-1.8080200961912283</v>
      </c>
      <c r="AA108">
        <f t="shared" si="26"/>
        <v>0.96664042220004909</v>
      </c>
      <c r="AB108">
        <f t="shared" si="27"/>
        <v>0.52592459946753145</v>
      </c>
      <c r="AC108" s="6">
        <f t="shared" si="28"/>
        <v>1.1850000000000001</v>
      </c>
    </row>
    <row r="109" spans="1:29" x14ac:dyDescent="0.2">
      <c r="A109">
        <v>1972.4</v>
      </c>
      <c r="B109" s="2">
        <v>4198.7179999999998</v>
      </c>
      <c r="C109" s="2">
        <v>30.652000000000001</v>
      </c>
      <c r="D109" s="2">
        <v>803.1</v>
      </c>
      <c r="E109" s="2">
        <v>210.9</v>
      </c>
      <c r="F109" s="2">
        <v>83002</v>
      </c>
      <c r="G109" s="2">
        <f t="shared" si="15"/>
        <v>69.894655292918912</v>
      </c>
      <c r="H109" s="2">
        <v>5.1433333333333335</v>
      </c>
      <c r="I109" s="2">
        <v>145215</v>
      </c>
      <c r="J109" s="2">
        <f t="shared" si="16"/>
        <v>0.75231447503164539</v>
      </c>
      <c r="K109" s="2">
        <v>107.2</v>
      </c>
      <c r="L109" s="2">
        <v>27.5</v>
      </c>
      <c r="N109" s="3">
        <f t="shared" si="17"/>
        <v>355.03821836509769</v>
      </c>
      <c r="O109" s="3">
        <f t="shared" si="18"/>
        <v>221.32870319412893</v>
      </c>
      <c r="P109" s="3">
        <f t="shared" si="19"/>
        <v>862.71353771463112</v>
      </c>
      <c r="Q109" s="3">
        <f t="shared" si="20"/>
        <v>460.11161043397095</v>
      </c>
      <c r="R109" s="3">
        <f t="shared" si="23"/>
        <v>1.3201728631307308</v>
      </c>
      <c r="S109" s="3">
        <f t="shared" si="21"/>
        <v>-10.851190843563231</v>
      </c>
      <c r="T109" s="3">
        <f t="shared" si="22"/>
        <v>1.2858333333333334</v>
      </c>
      <c r="V109">
        <f t="shared" si="29"/>
        <v>102</v>
      </c>
      <c r="W109">
        <f t="shared" si="24"/>
        <v>1.3386411753532457</v>
      </c>
      <c r="X109">
        <f t="shared" si="24"/>
        <v>4.2110562398115121</v>
      </c>
      <c r="Y109">
        <f t="shared" si="24"/>
        <v>1.1461563824586847</v>
      </c>
      <c r="Z109">
        <f t="shared" si="25"/>
        <v>-1.8054567204073351</v>
      </c>
      <c r="AA109">
        <f t="shared" si="26"/>
        <v>1.3201728631307308</v>
      </c>
      <c r="AB109">
        <f t="shared" si="27"/>
        <v>0.51474100368890596</v>
      </c>
      <c r="AC109" s="6">
        <f t="shared" si="28"/>
        <v>1.2858333333333334</v>
      </c>
    </row>
    <row r="110" spans="1:29" x14ac:dyDescent="0.2">
      <c r="A110">
        <v>1973.1</v>
      </c>
      <c r="B110" s="2">
        <v>4305.33</v>
      </c>
      <c r="C110" s="2">
        <v>31.02</v>
      </c>
      <c r="D110" s="2">
        <v>827.7</v>
      </c>
      <c r="E110" s="2">
        <v>222</v>
      </c>
      <c r="F110" s="2">
        <v>83841.666666666672</v>
      </c>
      <c r="G110" s="2">
        <f t="shared" si="15"/>
        <v>70.601725149399741</v>
      </c>
      <c r="H110" s="2">
        <v>6.5366666666666662</v>
      </c>
      <c r="I110" s="2">
        <v>145964.33333333334</v>
      </c>
      <c r="J110" s="2">
        <f t="shared" si="16"/>
        <v>0.75619654171408446</v>
      </c>
      <c r="K110" s="2">
        <v>107.1</v>
      </c>
      <c r="L110" s="2">
        <v>28.3</v>
      </c>
      <c r="N110" s="3">
        <f t="shared" si="17"/>
        <v>356.34725729211362</v>
      </c>
      <c r="O110" s="3">
        <f t="shared" si="18"/>
        <v>224.74991849020651</v>
      </c>
      <c r="P110" s="3">
        <f t="shared" si="19"/>
        <v>864.70630297544255</v>
      </c>
      <c r="Q110" s="3">
        <f t="shared" si="20"/>
        <v>460.51013319883492</v>
      </c>
      <c r="R110" s="3">
        <f t="shared" si="23"/>
        <v>1.1934244640234848</v>
      </c>
      <c r="S110" s="3">
        <f t="shared" si="21"/>
        <v>-9.1770353099200808</v>
      </c>
      <c r="T110" s="3">
        <f t="shared" si="22"/>
        <v>1.6341666666666665</v>
      </c>
      <c r="V110">
        <f t="shared" si="29"/>
        <v>103</v>
      </c>
      <c r="W110">
        <f t="shared" si="24"/>
        <v>1.3090389270159335</v>
      </c>
      <c r="X110">
        <f t="shared" si="24"/>
        <v>3.4212152960775768</v>
      </c>
      <c r="Y110">
        <f t="shared" si="24"/>
        <v>1.9927652608114386</v>
      </c>
      <c r="Z110">
        <f t="shared" si="25"/>
        <v>-1.4069339555433658</v>
      </c>
      <c r="AA110">
        <f t="shared" si="26"/>
        <v>1.1934244640234848</v>
      </c>
      <c r="AB110">
        <f t="shared" si="27"/>
        <v>1.67415553364315</v>
      </c>
      <c r="AC110" s="6">
        <f t="shared" si="28"/>
        <v>1.6341666666666665</v>
      </c>
    </row>
    <row r="111" spans="1:29" x14ac:dyDescent="0.2">
      <c r="A111">
        <v>1973.2</v>
      </c>
      <c r="B111" s="2">
        <v>4355.1019999999999</v>
      </c>
      <c r="C111" s="2">
        <v>31.5</v>
      </c>
      <c r="D111" s="2">
        <v>843.3</v>
      </c>
      <c r="E111" s="2">
        <v>227.8</v>
      </c>
      <c r="F111" s="2">
        <v>84797.333333333328</v>
      </c>
      <c r="G111" s="2">
        <f t="shared" si="15"/>
        <v>71.406476748657582</v>
      </c>
      <c r="H111" s="2">
        <v>7.8166666666666673</v>
      </c>
      <c r="I111" s="2">
        <v>146719.66666666666</v>
      </c>
      <c r="J111" s="2">
        <f t="shared" si="16"/>
        <v>0.76010969256035066</v>
      </c>
      <c r="K111" s="2">
        <v>107.1</v>
      </c>
      <c r="L111" s="2">
        <v>28.7</v>
      </c>
      <c r="N111" s="3">
        <f t="shared" si="17"/>
        <v>356.16277445494245</v>
      </c>
      <c r="O111" s="3">
        <f t="shared" si="18"/>
        <v>225.27730289819107</v>
      </c>
      <c r="P111" s="3">
        <f t="shared" si="19"/>
        <v>865.33958341675077</v>
      </c>
      <c r="Q111" s="3">
        <f t="shared" si="20"/>
        <v>461.12738912631056</v>
      </c>
      <c r="R111" s="3">
        <f t="shared" si="23"/>
        <v>1.5355388083194477</v>
      </c>
      <c r="S111" s="3">
        <f t="shared" si="21"/>
        <v>-9.3090423066011976</v>
      </c>
      <c r="T111" s="3">
        <f t="shared" si="22"/>
        <v>1.9541666666666668</v>
      </c>
      <c r="V111">
        <f t="shared" si="29"/>
        <v>104</v>
      </c>
      <c r="W111">
        <f t="shared" si="24"/>
        <v>-0.1844828371711742</v>
      </c>
      <c r="X111">
        <f t="shared" si="24"/>
        <v>0.52738440798455599</v>
      </c>
      <c r="Y111">
        <f t="shared" si="24"/>
        <v>0.63328044130821581</v>
      </c>
      <c r="Z111">
        <f t="shared" si="25"/>
        <v>-0.78967802806772625</v>
      </c>
      <c r="AA111">
        <f t="shared" si="26"/>
        <v>1.5355388083194477</v>
      </c>
      <c r="AB111">
        <f t="shared" si="27"/>
        <v>-0.13200699668111682</v>
      </c>
      <c r="AC111" s="6">
        <f t="shared" si="28"/>
        <v>1.9541666666666668</v>
      </c>
    </row>
    <row r="112" spans="1:29" x14ac:dyDescent="0.2">
      <c r="A112">
        <v>1973.3</v>
      </c>
      <c r="B112" s="2">
        <v>4331.9340000000002</v>
      </c>
      <c r="C112" s="2">
        <v>32.113999999999997</v>
      </c>
      <c r="D112" s="2">
        <v>861.8</v>
      </c>
      <c r="E112" s="2">
        <v>232</v>
      </c>
      <c r="F112" s="2">
        <v>85330.333333333328</v>
      </c>
      <c r="G112" s="2">
        <f t="shared" si="15"/>
        <v>71.85530751503822</v>
      </c>
      <c r="H112" s="2">
        <v>10.56</v>
      </c>
      <c r="I112" s="2">
        <v>147478.33333333334</v>
      </c>
      <c r="J112" s="2">
        <f t="shared" si="16"/>
        <v>0.76404011238652125</v>
      </c>
      <c r="K112" s="2">
        <v>107.1</v>
      </c>
      <c r="L112" s="2">
        <v>29.3</v>
      </c>
      <c r="N112" s="3">
        <f t="shared" si="17"/>
        <v>355.88661411243828</v>
      </c>
      <c r="O112" s="3">
        <f t="shared" si="18"/>
        <v>224.65802876089555</v>
      </c>
      <c r="P112" s="3">
        <f t="shared" si="19"/>
        <v>864.29043606178948</v>
      </c>
      <c r="Q112" s="3">
        <f t="shared" si="20"/>
        <v>461.23822587137619</v>
      </c>
      <c r="R112" s="3">
        <f t="shared" si="23"/>
        <v>1.9304526295905511</v>
      </c>
      <c r="S112" s="3">
        <f t="shared" si="21"/>
        <v>-9.1704556104471191</v>
      </c>
      <c r="T112" s="3">
        <f t="shared" si="22"/>
        <v>2.64</v>
      </c>
      <c r="V112">
        <f t="shared" si="29"/>
        <v>105</v>
      </c>
      <c r="W112">
        <f t="shared" si="24"/>
        <v>-0.27616034250416988</v>
      </c>
      <c r="X112">
        <f t="shared" si="24"/>
        <v>-0.61927413729551972</v>
      </c>
      <c r="Y112">
        <f t="shared" si="24"/>
        <v>-1.049147354961292</v>
      </c>
      <c r="Z112">
        <f t="shared" si="25"/>
        <v>-0.67884128300210023</v>
      </c>
      <c r="AA112">
        <f t="shared" si="26"/>
        <v>1.9304526295905511</v>
      </c>
      <c r="AB112">
        <f t="shared" si="27"/>
        <v>0.13858669615407848</v>
      </c>
      <c r="AC112" s="6">
        <f t="shared" si="28"/>
        <v>2.64</v>
      </c>
    </row>
    <row r="113" spans="1:29" x14ac:dyDescent="0.2">
      <c r="A113">
        <v>1973.4</v>
      </c>
      <c r="B113" s="2">
        <v>4373.2629999999999</v>
      </c>
      <c r="C113" s="2">
        <v>32.75</v>
      </c>
      <c r="D113" s="2">
        <v>876.9</v>
      </c>
      <c r="E113" s="2">
        <v>232.6</v>
      </c>
      <c r="F113" s="2">
        <v>86236</v>
      </c>
      <c r="G113" s="2">
        <f t="shared" si="15"/>
        <v>72.617954914823201</v>
      </c>
      <c r="H113" s="2">
        <v>9.9966666666666661</v>
      </c>
      <c r="I113" s="2">
        <v>148226</v>
      </c>
      <c r="J113" s="2">
        <f t="shared" si="16"/>
        <v>0.76791354457900818</v>
      </c>
      <c r="K113" s="2">
        <v>106.7</v>
      </c>
      <c r="L113" s="2">
        <v>29.9</v>
      </c>
      <c r="N113" s="3">
        <f t="shared" si="17"/>
        <v>355.15681230379852</v>
      </c>
      <c r="O113" s="3">
        <f t="shared" si="18"/>
        <v>222.44954023372392</v>
      </c>
      <c r="P113" s="3">
        <f t="shared" si="19"/>
        <v>864.73428157175113</v>
      </c>
      <c r="Q113" s="3">
        <f t="shared" si="20"/>
        <v>461.41413007838673</v>
      </c>
      <c r="R113" s="3">
        <f t="shared" si="23"/>
        <v>1.961088995376814</v>
      </c>
      <c r="S113" s="3">
        <f t="shared" si="21"/>
        <v>-9.1044481684620244</v>
      </c>
      <c r="T113" s="3">
        <f t="shared" si="22"/>
        <v>2.4991666666666665</v>
      </c>
      <c r="V113">
        <f t="shared" si="29"/>
        <v>106</v>
      </c>
      <c r="W113">
        <f t="shared" si="24"/>
        <v>-0.72980180863976329</v>
      </c>
      <c r="X113">
        <f t="shared" si="24"/>
        <v>-2.2084885271716246</v>
      </c>
      <c r="Y113">
        <f t="shared" si="24"/>
        <v>0.44384550996164762</v>
      </c>
      <c r="Z113">
        <f t="shared" si="25"/>
        <v>-0.50293707599155368</v>
      </c>
      <c r="AA113">
        <f t="shared" si="26"/>
        <v>1.961088995376814</v>
      </c>
      <c r="AB113">
        <f t="shared" si="27"/>
        <v>6.6007441985094673E-2</v>
      </c>
      <c r="AC113" s="6">
        <f t="shared" si="28"/>
        <v>2.4991666666666665</v>
      </c>
    </row>
    <row r="114" spans="1:29" x14ac:dyDescent="0.2">
      <c r="A114">
        <v>1974.1</v>
      </c>
      <c r="B114" s="2">
        <v>4335.37</v>
      </c>
      <c r="C114" s="2">
        <v>33.375999999999998</v>
      </c>
      <c r="D114" s="2">
        <v>895.1</v>
      </c>
      <c r="E114" s="2">
        <v>231.5</v>
      </c>
      <c r="F114" s="2">
        <v>86709.333333333328</v>
      </c>
      <c r="G114" s="2">
        <f t="shared" si="15"/>
        <v>73.016541336499557</v>
      </c>
      <c r="H114" s="2">
        <v>9.3233333333333324</v>
      </c>
      <c r="I114" s="2">
        <v>148986.66666666666</v>
      </c>
      <c r="J114" s="2">
        <f t="shared" si="16"/>
        <v>0.77185432579312097</v>
      </c>
      <c r="K114" s="2">
        <v>105.9</v>
      </c>
      <c r="L114" s="2">
        <v>30.6</v>
      </c>
      <c r="N114" s="3">
        <f t="shared" si="17"/>
        <v>354.80578089806107</v>
      </c>
      <c r="O114" s="3">
        <f t="shared" si="18"/>
        <v>219.57022386300062</v>
      </c>
      <c r="P114" s="3">
        <f t="shared" si="19"/>
        <v>863.35216812822398</v>
      </c>
      <c r="Q114" s="3">
        <f t="shared" si="20"/>
        <v>460.69705196719548</v>
      </c>
      <c r="R114" s="3">
        <f t="shared" si="23"/>
        <v>1.8934116737101103</v>
      </c>
      <c r="S114" s="3">
        <f t="shared" si="21"/>
        <v>-8.6837069860026777</v>
      </c>
      <c r="T114" s="3">
        <f t="shared" si="22"/>
        <v>2.3308333333333331</v>
      </c>
      <c r="V114">
        <f t="shared" si="29"/>
        <v>107</v>
      </c>
      <c r="W114">
        <f t="shared" si="24"/>
        <v>-0.3510314057374444</v>
      </c>
      <c r="X114">
        <f t="shared" si="24"/>
        <v>-2.879316370723302</v>
      </c>
      <c r="Y114">
        <f t="shared" si="24"/>
        <v>-1.382113443527146</v>
      </c>
      <c r="Z114">
        <f t="shared" si="25"/>
        <v>-1.2200151871828098</v>
      </c>
      <c r="AA114">
        <f t="shared" si="26"/>
        <v>1.8934116737101103</v>
      </c>
      <c r="AB114">
        <f t="shared" si="27"/>
        <v>0.42074118245934677</v>
      </c>
      <c r="AC114" s="6">
        <f t="shared" si="28"/>
        <v>2.3308333333333331</v>
      </c>
    </row>
    <row r="115" spans="1:29" x14ac:dyDescent="0.2">
      <c r="A115">
        <v>1974.2</v>
      </c>
      <c r="B115" s="2">
        <v>4347.9359999999997</v>
      </c>
      <c r="C115" s="2">
        <v>34.161999999999999</v>
      </c>
      <c r="D115" s="2">
        <v>923.7</v>
      </c>
      <c r="E115" s="2">
        <v>234.9</v>
      </c>
      <c r="F115" s="2">
        <v>86833.666666666672</v>
      </c>
      <c r="G115" s="2">
        <f t="shared" si="15"/>
        <v>73.121240445855406</v>
      </c>
      <c r="H115" s="2">
        <v>11.25</v>
      </c>
      <c r="I115" s="2">
        <v>149746.66666666666</v>
      </c>
      <c r="J115" s="2">
        <f t="shared" si="16"/>
        <v>0.7757916532112531</v>
      </c>
      <c r="K115" s="2">
        <v>105.6</v>
      </c>
      <c r="L115" s="2">
        <v>31.4</v>
      </c>
      <c r="N115" s="3">
        <f t="shared" si="17"/>
        <v>355.1144711360833</v>
      </c>
      <c r="O115" s="3">
        <f t="shared" si="18"/>
        <v>218.19172594271356</v>
      </c>
      <c r="P115" s="3">
        <f t="shared" si="19"/>
        <v>863.13278116996821</v>
      </c>
      <c r="Q115" s="3">
        <f t="shared" si="20"/>
        <v>460.04783597862985</v>
      </c>
      <c r="R115" s="3">
        <f t="shared" si="23"/>
        <v>2.3276836397506884</v>
      </c>
      <c r="S115" s="3">
        <f t="shared" si="21"/>
        <v>-8.4306022301661336</v>
      </c>
      <c r="T115" s="3">
        <f t="shared" si="22"/>
        <v>2.8125</v>
      </c>
      <c r="V115">
        <f t="shared" si="29"/>
        <v>108</v>
      </c>
      <c r="W115">
        <f t="shared" si="24"/>
        <v>0.30869023802222273</v>
      </c>
      <c r="X115">
        <f t="shared" si="24"/>
        <v>-1.3784979202870602</v>
      </c>
      <c r="Y115">
        <f t="shared" si="24"/>
        <v>-0.21938695825576815</v>
      </c>
      <c r="Z115">
        <f t="shared" si="25"/>
        <v>-1.869231175748439</v>
      </c>
      <c r="AA115">
        <f t="shared" si="26"/>
        <v>2.3276836397506884</v>
      </c>
      <c r="AB115">
        <f t="shared" si="27"/>
        <v>0.25310475583654402</v>
      </c>
      <c r="AC115" s="6">
        <f t="shared" si="28"/>
        <v>2.8125</v>
      </c>
    </row>
    <row r="116" spans="1:29" x14ac:dyDescent="0.2">
      <c r="A116">
        <v>1974.3</v>
      </c>
      <c r="B116" s="2">
        <v>4305.8209999999999</v>
      </c>
      <c r="C116" s="2">
        <v>35.165999999999997</v>
      </c>
      <c r="D116" s="2">
        <v>952.5</v>
      </c>
      <c r="E116" s="2">
        <v>239.9</v>
      </c>
      <c r="F116" s="2">
        <v>87079</v>
      </c>
      <c r="G116" s="2">
        <f t="shared" si="15"/>
        <v>73.327831717935538</v>
      </c>
      <c r="H116" s="2">
        <v>12.09</v>
      </c>
      <c r="I116" s="2">
        <v>150498</v>
      </c>
      <c r="J116" s="2">
        <f t="shared" si="16"/>
        <v>0.77968408128163458</v>
      </c>
      <c r="K116" s="2">
        <v>105.3</v>
      </c>
      <c r="L116" s="2">
        <v>32.299999999999997</v>
      </c>
      <c r="N116" s="3">
        <f t="shared" si="17"/>
        <v>354.78768656192864</v>
      </c>
      <c r="O116" s="3">
        <f t="shared" si="18"/>
        <v>216.90089284640791</v>
      </c>
      <c r="P116" s="3">
        <f t="shared" si="19"/>
        <v>861.65895724985728</v>
      </c>
      <c r="Q116" s="3">
        <f t="shared" si="20"/>
        <v>459.54499313344235</v>
      </c>
      <c r="R116" s="3">
        <f t="shared" si="23"/>
        <v>2.8965791506478489</v>
      </c>
      <c r="S116" s="3">
        <f t="shared" si="21"/>
        <v>-8.5012476493736333</v>
      </c>
      <c r="T116" s="3">
        <f t="shared" si="22"/>
        <v>3.0225</v>
      </c>
      <c r="V116">
        <f t="shared" si="29"/>
        <v>109</v>
      </c>
      <c r="W116">
        <f t="shared" si="24"/>
        <v>-0.326784574154658</v>
      </c>
      <c r="X116">
        <f t="shared" si="24"/>
        <v>-1.2908330963056471</v>
      </c>
      <c r="Y116">
        <f t="shared" si="24"/>
        <v>-1.4738239201109309</v>
      </c>
      <c r="Z116">
        <f t="shared" si="25"/>
        <v>-2.3720740209359406</v>
      </c>
      <c r="AA116">
        <f t="shared" si="26"/>
        <v>2.8965791506478489</v>
      </c>
      <c r="AB116">
        <f t="shared" si="27"/>
        <v>-7.0645419207499671E-2</v>
      </c>
      <c r="AC116" s="6">
        <f t="shared" si="28"/>
        <v>3.0225</v>
      </c>
    </row>
    <row r="117" spans="1:29" x14ac:dyDescent="0.2">
      <c r="A117">
        <v>1974.4</v>
      </c>
      <c r="B117" s="2">
        <v>4288.9359999999997</v>
      </c>
      <c r="C117" s="2">
        <v>36.218000000000004</v>
      </c>
      <c r="D117" s="2">
        <v>962.4</v>
      </c>
      <c r="E117" s="2">
        <v>235.4</v>
      </c>
      <c r="F117" s="2">
        <v>86588.333333333328</v>
      </c>
      <c r="G117" s="2">
        <f t="shared" si="15"/>
        <v>72.91464917377526</v>
      </c>
      <c r="H117" s="2">
        <v>9.3466666666666658</v>
      </c>
      <c r="I117" s="2">
        <v>151253</v>
      </c>
      <c r="J117" s="2">
        <f t="shared" si="16"/>
        <v>0.78359550522991051</v>
      </c>
      <c r="K117" s="2">
        <v>104.7</v>
      </c>
      <c r="L117" s="2">
        <v>33.200000000000003</v>
      </c>
      <c r="N117" s="3">
        <f t="shared" si="17"/>
        <v>352.37362608211919</v>
      </c>
      <c r="O117" s="3">
        <f t="shared" si="18"/>
        <v>211.55922909868994</v>
      </c>
      <c r="P117" s="3">
        <f t="shared" si="19"/>
        <v>860.76562914922067</v>
      </c>
      <c r="Q117" s="3">
        <f t="shared" si="20"/>
        <v>457.90808285811693</v>
      </c>
      <c r="R117" s="3">
        <f t="shared" si="23"/>
        <v>2.947652609680329</v>
      </c>
      <c r="S117" s="3">
        <f t="shared" si="21"/>
        <v>-8.7006356896707828</v>
      </c>
      <c r="T117" s="3">
        <f t="shared" si="22"/>
        <v>2.3366666666666664</v>
      </c>
      <c r="V117">
        <f t="shared" si="29"/>
        <v>110</v>
      </c>
      <c r="W117">
        <f t="shared" si="24"/>
        <v>-2.41406047980945</v>
      </c>
      <c r="X117">
        <f t="shared" si="24"/>
        <v>-5.3416637477179734</v>
      </c>
      <c r="Y117">
        <f t="shared" si="24"/>
        <v>-0.89332810063660872</v>
      </c>
      <c r="Z117">
        <f t="shared" si="25"/>
        <v>-4.0089842962613602</v>
      </c>
      <c r="AA117">
        <f t="shared" si="26"/>
        <v>2.947652609680329</v>
      </c>
      <c r="AB117">
        <f t="shared" si="27"/>
        <v>-0.19938804029714952</v>
      </c>
      <c r="AC117" s="6">
        <f t="shared" si="28"/>
        <v>2.3366666666666664</v>
      </c>
    </row>
    <row r="118" spans="1:29" x14ac:dyDescent="0.2">
      <c r="A118">
        <v>1975.1</v>
      </c>
      <c r="B118" s="2">
        <v>4237.5929999999998</v>
      </c>
      <c r="C118" s="2">
        <v>37.049999999999997</v>
      </c>
      <c r="D118" s="2">
        <v>988.6</v>
      </c>
      <c r="E118" s="2">
        <v>228.7</v>
      </c>
      <c r="F118" s="2">
        <v>85356.666666666672</v>
      </c>
      <c r="G118" s="2">
        <f t="shared" si="15"/>
        <v>71.877482393427258</v>
      </c>
      <c r="H118" s="2">
        <v>6.3033333333333337</v>
      </c>
      <c r="I118" s="2">
        <v>151987.33333333334</v>
      </c>
      <c r="J118" s="2">
        <f t="shared" si="16"/>
        <v>0.78739986150278118</v>
      </c>
      <c r="K118" s="2">
        <v>103.8</v>
      </c>
      <c r="L118" s="2">
        <v>34.1</v>
      </c>
      <c r="N118" s="3">
        <f t="shared" si="17"/>
        <v>352.30405254950983</v>
      </c>
      <c r="O118" s="3">
        <f t="shared" si="18"/>
        <v>205.91618256509747</v>
      </c>
      <c r="P118" s="3">
        <f t="shared" si="19"/>
        <v>859.07697747148666</v>
      </c>
      <c r="Q118" s="3">
        <f t="shared" si="20"/>
        <v>455.12778972768189</v>
      </c>
      <c r="R118" s="3">
        <f t="shared" si="23"/>
        <v>2.2712118922945113</v>
      </c>
      <c r="S118" s="3">
        <f t="shared" si="21"/>
        <v>-8.2970967452624631</v>
      </c>
      <c r="T118" s="3">
        <f t="shared" si="22"/>
        <v>1.5758333333333334</v>
      </c>
      <c r="V118">
        <f t="shared" si="29"/>
        <v>111</v>
      </c>
      <c r="W118">
        <f t="shared" si="24"/>
        <v>-6.9573532609354061E-2</v>
      </c>
      <c r="X118">
        <f t="shared" si="24"/>
        <v>-5.643046533592468</v>
      </c>
      <c r="Y118">
        <f t="shared" si="24"/>
        <v>-1.6886516777340148</v>
      </c>
      <c r="Z118">
        <f t="shared" si="25"/>
        <v>-6.7892774266964011</v>
      </c>
      <c r="AA118">
        <f t="shared" si="26"/>
        <v>2.2712118922945113</v>
      </c>
      <c r="AB118">
        <f t="shared" si="27"/>
        <v>0.40353894440831972</v>
      </c>
      <c r="AC118" s="6">
        <f t="shared" si="28"/>
        <v>1.5758333333333334</v>
      </c>
    </row>
    <row r="119" spans="1:29" x14ac:dyDescent="0.2">
      <c r="A119">
        <v>1975.2</v>
      </c>
      <c r="B119" s="2">
        <v>4268.6139999999996</v>
      </c>
      <c r="C119" s="2">
        <v>37.613999999999997</v>
      </c>
      <c r="D119" s="2">
        <v>1017.4</v>
      </c>
      <c r="E119" s="2">
        <v>230.7</v>
      </c>
      <c r="F119" s="2">
        <v>85331.666666666672</v>
      </c>
      <c r="G119" s="2">
        <f t="shared" si="15"/>
        <v>71.856430293690835</v>
      </c>
      <c r="H119" s="2">
        <v>5.42</v>
      </c>
      <c r="I119" s="2">
        <v>152707.66666666666</v>
      </c>
      <c r="J119" s="2">
        <f t="shared" si="16"/>
        <v>0.79113168806005452</v>
      </c>
      <c r="K119" s="2">
        <v>103.7</v>
      </c>
      <c r="L119" s="2">
        <v>34.799999999999997</v>
      </c>
      <c r="N119" s="3">
        <f t="shared" si="17"/>
        <v>353.1920152931101</v>
      </c>
      <c r="O119" s="3">
        <f t="shared" si="18"/>
        <v>204.80326857221445</v>
      </c>
      <c r="P119" s="3">
        <f t="shared" si="19"/>
        <v>859.33353054302688</v>
      </c>
      <c r="Q119" s="3">
        <f t="shared" si="20"/>
        <v>454.5292875914983</v>
      </c>
      <c r="R119" s="3">
        <f t="shared" si="23"/>
        <v>1.5107969777790498</v>
      </c>
      <c r="S119" s="3">
        <f t="shared" si="21"/>
        <v>-7.7758934739457874</v>
      </c>
      <c r="T119" s="3">
        <f t="shared" si="22"/>
        <v>1.355</v>
      </c>
      <c r="V119">
        <f t="shared" si="29"/>
        <v>112</v>
      </c>
      <c r="W119">
        <f t="shared" si="24"/>
        <v>0.88796274360026928</v>
      </c>
      <c r="X119">
        <f t="shared" si="24"/>
        <v>-1.1129139928830227</v>
      </c>
      <c r="Y119">
        <f t="shared" si="24"/>
        <v>0.25655307154022466</v>
      </c>
      <c r="Z119">
        <f t="shared" si="25"/>
        <v>-7.3877795628799845</v>
      </c>
      <c r="AA119">
        <f t="shared" si="26"/>
        <v>1.5107969777790498</v>
      </c>
      <c r="AB119">
        <f t="shared" si="27"/>
        <v>0.52120327131667565</v>
      </c>
      <c r="AC119" s="6">
        <f t="shared" si="28"/>
        <v>1.355</v>
      </c>
    </row>
    <row r="120" spans="1:29" x14ac:dyDescent="0.2">
      <c r="A120">
        <v>1975.3</v>
      </c>
      <c r="B120" s="2">
        <v>4340.8670000000002</v>
      </c>
      <c r="C120" s="2">
        <v>38.313000000000002</v>
      </c>
      <c r="D120" s="2">
        <v>1051.3</v>
      </c>
      <c r="E120" s="2">
        <v>239.2</v>
      </c>
      <c r="F120" s="2">
        <v>86135.666666666672</v>
      </c>
      <c r="G120" s="2">
        <f t="shared" si="15"/>
        <v>72.533465821214349</v>
      </c>
      <c r="H120" s="2">
        <v>6.16</v>
      </c>
      <c r="I120" s="2">
        <v>153579</v>
      </c>
      <c r="J120" s="2">
        <f t="shared" si="16"/>
        <v>0.79564579940698321</v>
      </c>
      <c r="K120" s="2">
        <v>103.9</v>
      </c>
      <c r="L120" s="2">
        <v>35.4</v>
      </c>
      <c r="N120" s="3">
        <f t="shared" si="17"/>
        <v>354.05946761877021</v>
      </c>
      <c r="O120" s="3">
        <f t="shared" si="18"/>
        <v>206.01119256823935</v>
      </c>
      <c r="P120" s="3">
        <f t="shared" si="19"/>
        <v>860.44305445165696</v>
      </c>
      <c r="Q120" s="3">
        <f t="shared" si="20"/>
        <v>455.0907932796494</v>
      </c>
      <c r="R120" s="3">
        <f t="shared" si="23"/>
        <v>1.8412942662348719</v>
      </c>
      <c r="S120" s="3">
        <f t="shared" si="21"/>
        <v>-7.9077444042506082</v>
      </c>
      <c r="T120" s="3">
        <f t="shared" si="22"/>
        <v>1.54</v>
      </c>
      <c r="V120">
        <f t="shared" si="29"/>
        <v>113</v>
      </c>
      <c r="W120">
        <f t="shared" si="24"/>
        <v>0.86745232566011055</v>
      </c>
      <c r="X120">
        <f t="shared" si="24"/>
        <v>1.2079239960249026</v>
      </c>
      <c r="Y120">
        <f t="shared" si="24"/>
        <v>1.1095239086300808</v>
      </c>
      <c r="Z120">
        <f t="shared" si="25"/>
        <v>-6.8262738747288836</v>
      </c>
      <c r="AA120">
        <f t="shared" si="26"/>
        <v>1.8412942662348719</v>
      </c>
      <c r="AB120">
        <f t="shared" si="27"/>
        <v>-0.13185093030482076</v>
      </c>
      <c r="AC120" s="6">
        <f t="shared" si="28"/>
        <v>1.54</v>
      </c>
    </row>
    <row r="121" spans="1:29" x14ac:dyDescent="0.2">
      <c r="A121">
        <v>1975.4</v>
      </c>
      <c r="B121" s="2">
        <v>4397.8059999999996</v>
      </c>
      <c r="C121" s="2">
        <v>38.987000000000002</v>
      </c>
      <c r="D121" s="2">
        <v>1080.2</v>
      </c>
      <c r="E121" s="2">
        <v>247.3</v>
      </c>
      <c r="F121" s="2">
        <v>86497</v>
      </c>
      <c r="G121" s="2">
        <f t="shared" si="15"/>
        <v>72.837738836071509</v>
      </c>
      <c r="H121" s="2">
        <v>5.4133333333333331</v>
      </c>
      <c r="I121" s="2">
        <v>154336.33333333334</v>
      </c>
      <c r="J121" s="2">
        <f t="shared" si="16"/>
        <v>0.79956931164119205</v>
      </c>
      <c r="K121" s="2">
        <v>104.5</v>
      </c>
      <c r="L121" s="2">
        <v>36.1</v>
      </c>
      <c r="N121" s="3">
        <f t="shared" si="17"/>
        <v>354.53552876611201</v>
      </c>
      <c r="O121" s="3">
        <f t="shared" si="18"/>
        <v>207.10559740297003</v>
      </c>
      <c r="P121" s="3">
        <f t="shared" si="19"/>
        <v>861.25431159130005</v>
      </c>
      <c r="Q121" s="3">
        <f t="shared" si="20"/>
        <v>455.59331536375385</v>
      </c>
      <c r="R121" s="3">
        <f t="shared" si="23"/>
        <v>1.7438993046174023</v>
      </c>
      <c r="S121" s="3">
        <f t="shared" si="21"/>
        <v>-7.6935391889573586</v>
      </c>
      <c r="T121" s="3">
        <f t="shared" si="22"/>
        <v>1.3533333333333333</v>
      </c>
      <c r="V121">
        <f t="shared" si="29"/>
        <v>114</v>
      </c>
      <c r="W121">
        <f t="shared" si="24"/>
        <v>0.47606114734179528</v>
      </c>
      <c r="X121">
        <f t="shared" si="24"/>
        <v>1.0944048347306818</v>
      </c>
      <c r="Y121">
        <f t="shared" si="24"/>
        <v>0.81125713964308943</v>
      </c>
      <c r="Z121">
        <f t="shared" si="25"/>
        <v>-6.323751790624442</v>
      </c>
      <c r="AA121">
        <f t="shared" si="26"/>
        <v>1.7438993046174023</v>
      </c>
      <c r="AB121">
        <f t="shared" si="27"/>
        <v>0.21420521529324965</v>
      </c>
      <c r="AC121" s="6">
        <f t="shared" si="28"/>
        <v>1.3533333333333333</v>
      </c>
    </row>
    <row r="122" spans="1:29" x14ac:dyDescent="0.2">
      <c r="A122">
        <v>1976.1</v>
      </c>
      <c r="B122" s="2">
        <v>4496.7610000000004</v>
      </c>
      <c r="C122" s="2">
        <v>39.417999999999999</v>
      </c>
      <c r="D122" s="2">
        <v>1114</v>
      </c>
      <c r="E122" s="2">
        <v>260.10000000000002</v>
      </c>
      <c r="F122" s="2">
        <v>87685.666666666672</v>
      </c>
      <c r="G122" s="2">
        <f t="shared" si="15"/>
        <v>73.838696004872858</v>
      </c>
      <c r="H122" s="2">
        <v>4.8266666666666671</v>
      </c>
      <c r="I122" s="2">
        <v>155075</v>
      </c>
      <c r="J122" s="2">
        <f t="shared" si="16"/>
        <v>0.80339611758793794</v>
      </c>
      <c r="K122" s="2">
        <v>104.8</v>
      </c>
      <c r="L122" s="2">
        <v>36.9</v>
      </c>
      <c r="N122" s="3">
        <f t="shared" si="17"/>
        <v>356.03972452626084</v>
      </c>
      <c r="O122" s="3">
        <f t="shared" si="18"/>
        <v>210.57509972299852</v>
      </c>
      <c r="P122" s="3">
        <f t="shared" si="19"/>
        <v>863.00200283619222</v>
      </c>
      <c r="Q122" s="3">
        <f t="shared" si="20"/>
        <v>456.76739057442023</v>
      </c>
      <c r="R122" s="3">
        <f t="shared" si="23"/>
        <v>1.0994307541893455</v>
      </c>
      <c r="S122" s="3">
        <f t="shared" si="21"/>
        <v>-6.6011013723821126</v>
      </c>
      <c r="T122" s="3">
        <f t="shared" si="22"/>
        <v>1.2066666666666668</v>
      </c>
      <c r="V122">
        <f t="shared" si="29"/>
        <v>115</v>
      </c>
      <c r="W122">
        <f t="shared" si="24"/>
        <v>1.5041957601488321</v>
      </c>
      <c r="X122">
        <f t="shared" si="24"/>
        <v>3.4695023200284822</v>
      </c>
      <c r="Y122">
        <f t="shared" si="24"/>
        <v>1.7476912448921667</v>
      </c>
      <c r="Z122">
        <f t="shared" si="25"/>
        <v>-5.1496765799580544</v>
      </c>
      <c r="AA122">
        <f t="shared" si="26"/>
        <v>1.0994307541893455</v>
      </c>
      <c r="AB122">
        <f t="shared" si="27"/>
        <v>1.092437816575246</v>
      </c>
      <c r="AC122" s="6">
        <f t="shared" si="28"/>
        <v>1.2066666666666668</v>
      </c>
    </row>
    <row r="123" spans="1:29" x14ac:dyDescent="0.2">
      <c r="A123">
        <v>1976.2</v>
      </c>
      <c r="B123" s="2">
        <v>4530.335</v>
      </c>
      <c r="C123" s="2">
        <v>39.840000000000003</v>
      </c>
      <c r="D123" s="2">
        <v>1133.7</v>
      </c>
      <c r="E123" s="2">
        <v>269.10000000000002</v>
      </c>
      <c r="F123" s="2">
        <v>88591</v>
      </c>
      <c r="G123" s="2">
        <f t="shared" si="15"/>
        <v>74.601062709994693</v>
      </c>
      <c r="H123" s="2">
        <v>5.1966666666666663</v>
      </c>
      <c r="I123" s="2">
        <v>155773.33333333334</v>
      </c>
      <c r="J123" s="2">
        <f t="shared" si="16"/>
        <v>0.80701396887784438</v>
      </c>
      <c r="K123" s="2">
        <v>104.1</v>
      </c>
      <c r="L123" s="2">
        <v>37.6</v>
      </c>
      <c r="N123" s="3">
        <f t="shared" si="17"/>
        <v>356.27847675311807</v>
      </c>
      <c r="O123" s="3">
        <f t="shared" si="18"/>
        <v>212.4625926240488</v>
      </c>
      <c r="P123" s="3">
        <f t="shared" si="19"/>
        <v>863.29654684017112</v>
      </c>
      <c r="Q123" s="3">
        <f t="shared" si="20"/>
        <v>456.67508434073943</v>
      </c>
      <c r="R123" s="3">
        <f t="shared" si="23"/>
        <v>1.0648867946095208</v>
      </c>
      <c r="S123" s="3">
        <f t="shared" si="21"/>
        <v>-5.7867382320548684</v>
      </c>
      <c r="T123" s="3">
        <f t="shared" si="22"/>
        <v>1.2991666666666666</v>
      </c>
      <c r="V123">
        <f t="shared" si="29"/>
        <v>116</v>
      </c>
      <c r="W123">
        <f t="shared" si="24"/>
        <v>0.23875222685722974</v>
      </c>
      <c r="X123">
        <f t="shared" si="24"/>
        <v>1.8874929010502797</v>
      </c>
      <c r="Y123">
        <f t="shared" si="24"/>
        <v>0.29454400397889913</v>
      </c>
      <c r="Z123">
        <f t="shared" si="25"/>
        <v>-5.241982813638856</v>
      </c>
      <c r="AA123">
        <f t="shared" si="26"/>
        <v>1.0648867946095208</v>
      </c>
      <c r="AB123">
        <f t="shared" si="27"/>
        <v>0.81436314032724422</v>
      </c>
      <c r="AC123" s="6">
        <f t="shared" si="28"/>
        <v>1.2991666666666666</v>
      </c>
    </row>
    <row r="124" spans="1:29" x14ac:dyDescent="0.2">
      <c r="A124">
        <v>1976.3</v>
      </c>
      <c r="B124" s="2">
        <v>4552.03</v>
      </c>
      <c r="C124" s="2">
        <v>40.384999999999998</v>
      </c>
      <c r="D124" s="2">
        <v>1163.0999999999999</v>
      </c>
      <c r="E124" s="2">
        <v>275.7</v>
      </c>
      <c r="F124" s="2">
        <v>89163</v>
      </c>
      <c r="G124" s="2">
        <f t="shared" si="15"/>
        <v>75.082734751964168</v>
      </c>
      <c r="H124" s="2">
        <v>5.2833333333333332</v>
      </c>
      <c r="I124" s="2">
        <v>156526.66666666666</v>
      </c>
      <c r="J124" s="2">
        <f t="shared" si="16"/>
        <v>0.81091675833616828</v>
      </c>
      <c r="K124" s="2">
        <v>103.9</v>
      </c>
      <c r="L124" s="2">
        <v>38.5</v>
      </c>
      <c r="N124" s="3">
        <f t="shared" si="17"/>
        <v>356.99755753545952</v>
      </c>
      <c r="O124" s="3">
        <f t="shared" si="18"/>
        <v>213.04447600393524</v>
      </c>
      <c r="P124" s="3">
        <f t="shared" si="19"/>
        <v>863.29184371979773</v>
      </c>
      <c r="Q124" s="3">
        <f t="shared" si="20"/>
        <v>456.64392185826188</v>
      </c>
      <c r="R124" s="3">
        <f t="shared" si="23"/>
        <v>1.3586996177862076</v>
      </c>
      <c r="S124" s="3">
        <f t="shared" si="21"/>
        <v>-4.7800187600521067</v>
      </c>
      <c r="T124" s="3">
        <f t="shared" si="22"/>
        <v>1.3208333333333333</v>
      </c>
      <c r="V124">
        <f t="shared" si="29"/>
        <v>117</v>
      </c>
      <c r="W124">
        <f t="shared" si="24"/>
        <v>0.71908078234145023</v>
      </c>
      <c r="X124">
        <f t="shared" si="24"/>
        <v>0.58188337988644889</v>
      </c>
      <c r="Y124">
        <f t="shared" si="24"/>
        <v>-4.7031203733922666E-3</v>
      </c>
      <c r="Z124">
        <f t="shared" si="25"/>
        <v>-5.2731452961164109</v>
      </c>
      <c r="AA124">
        <f t="shared" si="26"/>
        <v>1.3586996177862076</v>
      </c>
      <c r="AB124">
        <f t="shared" si="27"/>
        <v>1.0067194720027617</v>
      </c>
      <c r="AC124" s="6">
        <f t="shared" si="28"/>
        <v>1.3208333333333333</v>
      </c>
    </row>
    <row r="125" spans="1:29" x14ac:dyDescent="0.2">
      <c r="A125">
        <v>1976.4</v>
      </c>
      <c r="B125" s="2">
        <v>4584.6229999999996</v>
      </c>
      <c r="C125" s="2">
        <v>41.122</v>
      </c>
      <c r="D125" s="2">
        <v>1196.9000000000001</v>
      </c>
      <c r="E125" s="2">
        <v>294.39999999999998</v>
      </c>
      <c r="F125" s="2">
        <v>89570.333333333328</v>
      </c>
      <c r="G125" s="2">
        <f t="shared" si="15"/>
        <v>75.425743630336356</v>
      </c>
      <c r="H125" s="2">
        <v>4.8733333333333331</v>
      </c>
      <c r="I125" s="2">
        <v>157222</v>
      </c>
      <c r="J125" s="2">
        <f t="shared" si="16"/>
        <v>0.81451906754416104</v>
      </c>
      <c r="K125" s="2">
        <v>103.8</v>
      </c>
      <c r="L125" s="2">
        <v>39.299999999999997</v>
      </c>
      <c r="N125" s="3">
        <f t="shared" si="17"/>
        <v>357.61043428752203</v>
      </c>
      <c r="O125" s="3">
        <f t="shared" si="18"/>
        <v>217.35535698506166</v>
      </c>
      <c r="P125" s="3">
        <f t="shared" si="19"/>
        <v>863.5620597756656</v>
      </c>
      <c r="Q125" s="3">
        <f t="shared" si="20"/>
        <v>456.56018700348636</v>
      </c>
      <c r="R125" s="3">
        <f t="shared" si="23"/>
        <v>1.8084829202150043</v>
      </c>
      <c r="S125" s="3">
        <f t="shared" si="21"/>
        <v>-4.5318739221194297</v>
      </c>
      <c r="T125" s="3">
        <f t="shared" si="22"/>
        <v>1.2183333333333333</v>
      </c>
      <c r="V125">
        <f t="shared" si="29"/>
        <v>118</v>
      </c>
      <c r="W125">
        <f t="shared" si="24"/>
        <v>0.61287675206250469</v>
      </c>
      <c r="X125">
        <f t="shared" si="24"/>
        <v>4.3108809811264166</v>
      </c>
      <c r="Y125">
        <f t="shared" si="24"/>
        <v>0.270216055867877</v>
      </c>
      <c r="Z125">
        <f t="shared" si="25"/>
        <v>-5.356880150891925</v>
      </c>
      <c r="AA125">
        <f t="shared" si="26"/>
        <v>1.8084829202150043</v>
      </c>
      <c r="AB125">
        <f t="shared" si="27"/>
        <v>0.24814483793267694</v>
      </c>
      <c r="AC125" s="6">
        <f t="shared" si="28"/>
        <v>1.2183333333333333</v>
      </c>
    </row>
    <row r="126" spans="1:29" x14ac:dyDescent="0.2">
      <c r="A126">
        <v>1977.1</v>
      </c>
      <c r="B126" s="2">
        <v>4639.99</v>
      </c>
      <c r="C126" s="2">
        <v>41.795999999999999</v>
      </c>
      <c r="D126" s="2">
        <v>1232.5</v>
      </c>
      <c r="E126" s="2">
        <v>311.8</v>
      </c>
      <c r="F126" s="2">
        <v>90359.333333333328</v>
      </c>
      <c r="G126" s="2">
        <f t="shared" si="15"/>
        <v>76.090147898018017</v>
      </c>
      <c r="H126" s="2">
        <v>4.66</v>
      </c>
      <c r="I126" s="2">
        <v>157910.66666666666</v>
      </c>
      <c r="J126" s="2">
        <f t="shared" si="16"/>
        <v>0.81808683879234556</v>
      </c>
      <c r="K126" s="2">
        <v>103.7</v>
      </c>
      <c r="L126" s="2">
        <v>40</v>
      </c>
      <c r="N126" s="3">
        <f t="shared" si="17"/>
        <v>358.47860528660902</v>
      </c>
      <c r="O126" s="3">
        <f t="shared" si="18"/>
        <v>221.03481035729212</v>
      </c>
      <c r="P126" s="3">
        <f t="shared" si="19"/>
        <v>864.32542781666746</v>
      </c>
      <c r="Q126" s="3">
        <f t="shared" si="20"/>
        <v>456.90375112798154</v>
      </c>
      <c r="R126" s="3">
        <f t="shared" si="23"/>
        <v>1.6257383075454879</v>
      </c>
      <c r="S126" s="3">
        <f t="shared" si="21"/>
        <v>-4.3921187057928144</v>
      </c>
      <c r="T126" s="3">
        <f t="shared" si="22"/>
        <v>1.165</v>
      </c>
      <c r="V126">
        <f t="shared" si="29"/>
        <v>119</v>
      </c>
      <c r="W126">
        <f t="shared" si="24"/>
        <v>0.86817099908699902</v>
      </c>
      <c r="X126">
        <f t="shared" si="24"/>
        <v>3.679453372230455</v>
      </c>
      <c r="Y126">
        <f t="shared" si="24"/>
        <v>0.76336804100185418</v>
      </c>
      <c r="Z126">
        <f t="shared" si="25"/>
        <v>-5.0133160263967511</v>
      </c>
      <c r="AA126">
        <f t="shared" si="26"/>
        <v>1.6257383075454879</v>
      </c>
      <c r="AB126">
        <f t="shared" si="27"/>
        <v>0.13975521632661536</v>
      </c>
      <c r="AC126" s="6">
        <f t="shared" si="28"/>
        <v>1.165</v>
      </c>
    </row>
    <row r="127" spans="1:29" x14ac:dyDescent="0.2">
      <c r="A127">
        <v>1977.2</v>
      </c>
      <c r="B127" s="2">
        <v>4731.0919999999996</v>
      </c>
      <c r="C127" s="2">
        <v>42.401000000000003</v>
      </c>
      <c r="D127" s="2">
        <v>1260.4000000000001</v>
      </c>
      <c r="E127" s="2">
        <v>335.4</v>
      </c>
      <c r="F127" s="2">
        <v>91661.333333333328</v>
      </c>
      <c r="G127" s="2">
        <f t="shared" si="15"/>
        <v>77.186541252291164</v>
      </c>
      <c r="H127" s="2">
        <v>5.1566666666666663</v>
      </c>
      <c r="I127" s="2">
        <v>158652</v>
      </c>
      <c r="J127" s="2">
        <f t="shared" si="16"/>
        <v>0.82192745992301486</v>
      </c>
      <c r="K127" s="2">
        <v>103.9</v>
      </c>
      <c r="L127" s="2">
        <v>40.799999999999997</v>
      </c>
      <c r="N127" s="3">
        <f t="shared" si="17"/>
        <v>358.81155991065697</v>
      </c>
      <c r="O127" s="3">
        <f t="shared" si="18"/>
        <v>226.42550386125583</v>
      </c>
      <c r="P127" s="3">
        <f t="shared" si="19"/>
        <v>865.80144577368526</v>
      </c>
      <c r="Q127" s="3">
        <f t="shared" si="20"/>
        <v>458.05869539281997</v>
      </c>
      <c r="R127" s="3">
        <f t="shared" si="23"/>
        <v>1.4371305693588354</v>
      </c>
      <c r="S127" s="3">
        <f t="shared" si="21"/>
        <v>-3.8489865455337071</v>
      </c>
      <c r="T127" s="3">
        <f t="shared" si="22"/>
        <v>1.2891666666666666</v>
      </c>
      <c r="V127">
        <f t="shared" si="29"/>
        <v>120</v>
      </c>
      <c r="W127">
        <f t="shared" si="24"/>
        <v>0.33295462404794307</v>
      </c>
      <c r="X127">
        <f t="shared" si="24"/>
        <v>5.3906935039637176</v>
      </c>
      <c r="Y127">
        <f t="shared" si="24"/>
        <v>1.4760179570178025</v>
      </c>
      <c r="Z127">
        <f t="shared" si="25"/>
        <v>-3.8583717615583168</v>
      </c>
      <c r="AA127">
        <f t="shared" si="26"/>
        <v>1.4371305693588354</v>
      </c>
      <c r="AB127">
        <f t="shared" si="27"/>
        <v>0.54313216025910727</v>
      </c>
      <c r="AC127" s="6">
        <f t="shared" si="28"/>
        <v>1.2891666666666666</v>
      </c>
    </row>
    <row r="128" spans="1:29" x14ac:dyDescent="0.2">
      <c r="A128">
        <v>1977.3</v>
      </c>
      <c r="B128" s="2">
        <v>4815.8119999999999</v>
      </c>
      <c r="C128" s="2">
        <v>42.917000000000002</v>
      </c>
      <c r="D128" s="2">
        <v>1291.7</v>
      </c>
      <c r="E128" s="2">
        <v>347.5</v>
      </c>
      <c r="F128" s="2">
        <v>92409</v>
      </c>
      <c r="G128" s="2">
        <f t="shared" si="15"/>
        <v>77.816139381741934</v>
      </c>
      <c r="H128" s="2">
        <v>5.82</v>
      </c>
      <c r="I128" s="2">
        <v>159429.66666666666</v>
      </c>
      <c r="J128" s="2">
        <f t="shared" si="16"/>
        <v>0.82595631293463856</v>
      </c>
      <c r="K128" s="2">
        <v>103.6</v>
      </c>
      <c r="L128" s="2">
        <v>41.6</v>
      </c>
      <c r="N128" s="3">
        <f t="shared" si="17"/>
        <v>359.56598381716236</v>
      </c>
      <c r="O128" s="3">
        <f t="shared" si="18"/>
        <v>228.27100439385006</v>
      </c>
      <c r="P128" s="3">
        <f t="shared" si="19"/>
        <v>867.08733464513784</v>
      </c>
      <c r="Q128" s="3">
        <f t="shared" si="20"/>
        <v>458.09293973430795</v>
      </c>
      <c r="R128" s="3">
        <f t="shared" si="23"/>
        <v>1.2096070970411432</v>
      </c>
      <c r="S128" s="3">
        <f t="shared" si="21"/>
        <v>-3.1167850568646562</v>
      </c>
      <c r="T128" s="3">
        <f t="shared" si="22"/>
        <v>1.4550000000000001</v>
      </c>
      <c r="V128">
        <f t="shared" si="29"/>
        <v>121</v>
      </c>
      <c r="W128">
        <f t="shared" si="24"/>
        <v>0.75442390650539437</v>
      </c>
      <c r="X128">
        <f t="shared" si="24"/>
        <v>1.8455005325942295</v>
      </c>
      <c r="Y128">
        <f t="shared" si="24"/>
        <v>1.2858888714525847</v>
      </c>
      <c r="Z128">
        <f t="shared" si="25"/>
        <v>-3.8241274200703401</v>
      </c>
      <c r="AA128">
        <f t="shared" si="26"/>
        <v>1.2096070970411432</v>
      </c>
      <c r="AB128">
        <f t="shared" si="27"/>
        <v>0.73220148866905088</v>
      </c>
      <c r="AC128" s="6">
        <f t="shared" si="28"/>
        <v>1.4550000000000001</v>
      </c>
    </row>
    <row r="129" spans="1:29" x14ac:dyDescent="0.2">
      <c r="A129">
        <v>1977.4</v>
      </c>
      <c r="B129" s="2">
        <v>4815.3209999999999</v>
      </c>
      <c r="C129" s="2">
        <v>43.851999999999997</v>
      </c>
      <c r="D129" s="2">
        <v>1329.8</v>
      </c>
      <c r="E129" s="2">
        <v>361.4</v>
      </c>
      <c r="F129" s="2">
        <v>93639.333333333328</v>
      </c>
      <c r="G129" s="2">
        <f t="shared" si="15"/>
        <v>78.852183383437321</v>
      </c>
      <c r="H129" s="2">
        <v>6.5133333333333328</v>
      </c>
      <c r="I129" s="2">
        <v>160140</v>
      </c>
      <c r="J129" s="2">
        <f t="shared" si="16"/>
        <v>0.82963633255219982</v>
      </c>
      <c r="K129" s="2">
        <v>103.5</v>
      </c>
      <c r="L129" s="2">
        <v>42.3</v>
      </c>
      <c r="N129" s="3">
        <f t="shared" si="17"/>
        <v>359.87313339164359</v>
      </c>
      <c r="O129" s="3">
        <f t="shared" si="18"/>
        <v>229.59328781062095</v>
      </c>
      <c r="P129" s="3">
        <f t="shared" si="19"/>
        <v>866.63258164371439</v>
      </c>
      <c r="Q129" s="3">
        <f t="shared" si="20"/>
        <v>458.87442578450123</v>
      </c>
      <c r="R129" s="3">
        <f t="shared" si="23"/>
        <v>2.1552309976429207</v>
      </c>
      <c r="S129" s="3">
        <f t="shared" si="21"/>
        <v>-3.6033241760061299</v>
      </c>
      <c r="T129" s="3">
        <f t="shared" si="22"/>
        <v>1.6283333333333332</v>
      </c>
      <c r="V129">
        <f t="shared" si="29"/>
        <v>122</v>
      </c>
      <c r="W129">
        <f t="shared" si="24"/>
        <v>0.30714957448122959</v>
      </c>
      <c r="X129">
        <f t="shared" si="24"/>
        <v>1.3222834167708868</v>
      </c>
      <c r="Y129">
        <f t="shared" si="24"/>
        <v>-0.45475300142345532</v>
      </c>
      <c r="Z129">
        <f t="shared" si="25"/>
        <v>-3.0426413698770602</v>
      </c>
      <c r="AA129">
        <f t="shared" si="26"/>
        <v>2.1552309976429207</v>
      </c>
      <c r="AB129">
        <f t="shared" si="27"/>
        <v>-0.48653911914147363</v>
      </c>
      <c r="AC129" s="6">
        <f t="shared" si="28"/>
        <v>1.6283333333333332</v>
      </c>
    </row>
    <row r="130" spans="1:29" x14ac:dyDescent="0.2">
      <c r="A130">
        <v>1978.1</v>
      </c>
      <c r="B130" s="2">
        <v>4830.8320000000003</v>
      </c>
      <c r="C130" s="2">
        <v>44.505000000000003</v>
      </c>
      <c r="D130" s="2">
        <v>1359.9</v>
      </c>
      <c r="E130" s="2">
        <v>371.3</v>
      </c>
      <c r="F130" s="2">
        <v>94552.666666666672</v>
      </c>
      <c r="G130" s="2">
        <f t="shared" si="15"/>
        <v>79.621286760474831</v>
      </c>
      <c r="H130" s="2">
        <v>6.7566666666666668</v>
      </c>
      <c r="I130" s="2">
        <v>160828.66666666666</v>
      </c>
      <c r="J130" s="2">
        <f t="shared" si="16"/>
        <v>0.83320410380038434</v>
      </c>
      <c r="K130" s="2">
        <v>102.7</v>
      </c>
      <c r="L130" s="2">
        <v>43.5</v>
      </c>
      <c r="N130" s="3">
        <f t="shared" si="17"/>
        <v>360.20415484629507</v>
      </c>
      <c r="O130" s="3">
        <f t="shared" si="18"/>
        <v>230.38854630310723</v>
      </c>
      <c r="P130" s="3">
        <f t="shared" si="19"/>
        <v>866.52506327998435</v>
      </c>
      <c r="Q130" s="3">
        <f t="shared" si="20"/>
        <v>458.64000539189107</v>
      </c>
      <c r="R130" s="3">
        <f t="shared" si="23"/>
        <v>1.4781214598601267</v>
      </c>
      <c r="S130" s="3">
        <f t="shared" si="21"/>
        <v>-2.2840604316256514</v>
      </c>
      <c r="T130" s="3">
        <f t="shared" si="22"/>
        <v>1.6891666666666667</v>
      </c>
      <c r="V130">
        <f t="shared" si="29"/>
        <v>123</v>
      </c>
      <c r="W130">
        <f t="shared" si="24"/>
        <v>0.33102145465147714</v>
      </c>
      <c r="X130">
        <f t="shared" si="24"/>
        <v>0.79525849248628333</v>
      </c>
      <c r="Y130">
        <f t="shared" si="24"/>
        <v>-0.10751836373003698</v>
      </c>
      <c r="Z130">
        <f t="shared" si="25"/>
        <v>-3.2770617624872216</v>
      </c>
      <c r="AA130">
        <f t="shared" si="26"/>
        <v>1.4781214598601267</v>
      </c>
      <c r="AB130">
        <f t="shared" si="27"/>
        <v>1.3192637443804784</v>
      </c>
      <c r="AC130" s="6">
        <f t="shared" si="28"/>
        <v>1.6891666666666667</v>
      </c>
    </row>
    <row r="131" spans="1:29" x14ac:dyDescent="0.2">
      <c r="A131">
        <v>1978.2</v>
      </c>
      <c r="B131" s="2">
        <v>5021.183</v>
      </c>
      <c r="C131" s="2">
        <v>45.320999999999998</v>
      </c>
      <c r="D131" s="2">
        <v>1417.6</v>
      </c>
      <c r="E131" s="2">
        <v>406.6</v>
      </c>
      <c r="F131" s="2">
        <v>95835.333333333328</v>
      </c>
      <c r="G131" s="2">
        <f t="shared" si="15"/>
        <v>80.701399824285133</v>
      </c>
      <c r="H131" s="2">
        <v>7.2833333333333341</v>
      </c>
      <c r="I131" s="2">
        <v>161525</v>
      </c>
      <c r="J131" s="2">
        <f t="shared" si="16"/>
        <v>0.83681159370234837</v>
      </c>
      <c r="K131" s="2">
        <v>103.6</v>
      </c>
      <c r="L131" s="2">
        <v>44.3</v>
      </c>
      <c r="N131" s="3">
        <f t="shared" si="17"/>
        <v>362.11064095817528</v>
      </c>
      <c r="O131" s="3">
        <f t="shared" si="18"/>
        <v>237.22157309251827</v>
      </c>
      <c r="P131" s="3">
        <f t="shared" si="19"/>
        <v>869.95771732540902</v>
      </c>
      <c r="Q131" s="3">
        <f t="shared" si="20"/>
        <v>460.42793959492252</v>
      </c>
      <c r="R131" s="3">
        <f t="shared" si="23"/>
        <v>1.8168958818802761</v>
      </c>
      <c r="S131" s="3">
        <f t="shared" si="21"/>
        <v>-2.2785824178607692</v>
      </c>
      <c r="T131" s="3">
        <f t="shared" si="22"/>
        <v>1.8208333333333335</v>
      </c>
      <c r="V131">
        <f t="shared" si="29"/>
        <v>124</v>
      </c>
      <c r="W131">
        <f t="shared" si="24"/>
        <v>1.9064861118802128</v>
      </c>
      <c r="X131">
        <f t="shared" si="24"/>
        <v>6.8330267894110364</v>
      </c>
      <c r="Y131">
        <f t="shared" si="24"/>
        <v>3.4326540454246697</v>
      </c>
      <c r="Z131">
        <f t="shared" si="25"/>
        <v>-1.4891275594557669</v>
      </c>
      <c r="AA131">
        <f t="shared" si="26"/>
        <v>1.8168958818802761</v>
      </c>
      <c r="AB131">
        <f t="shared" si="27"/>
        <v>5.4780137648822169E-3</v>
      </c>
      <c r="AC131" s="6">
        <f t="shared" si="28"/>
        <v>1.8208333333333335</v>
      </c>
    </row>
    <row r="132" spans="1:29" x14ac:dyDescent="0.2">
      <c r="A132">
        <v>1978.3</v>
      </c>
      <c r="B132" s="2">
        <v>5070.6610000000001</v>
      </c>
      <c r="C132" s="2">
        <v>46.072000000000003</v>
      </c>
      <c r="D132" s="2">
        <v>1448.7</v>
      </c>
      <c r="E132" s="2">
        <v>426.4</v>
      </c>
      <c r="F132" s="2">
        <v>96397</v>
      </c>
      <c r="G132" s="2">
        <f t="shared" si="15"/>
        <v>81.174370331696892</v>
      </c>
      <c r="H132" s="2">
        <v>8.1</v>
      </c>
      <c r="I132" s="2">
        <v>162265</v>
      </c>
      <c r="J132" s="2">
        <f t="shared" si="16"/>
        <v>0.84064530724105591</v>
      </c>
      <c r="K132" s="2">
        <v>103.4</v>
      </c>
      <c r="L132" s="2">
        <v>45.1</v>
      </c>
      <c r="N132" s="3">
        <f t="shared" si="17"/>
        <v>362.18019505141706</v>
      </c>
      <c r="O132" s="3">
        <f t="shared" si="18"/>
        <v>239.87579418181991</v>
      </c>
      <c r="P132" s="3">
        <f t="shared" si="19"/>
        <v>870.48119220115666</v>
      </c>
      <c r="Q132" s="3">
        <f t="shared" si="20"/>
        <v>460.36197962920301</v>
      </c>
      <c r="R132" s="3">
        <f t="shared" si="23"/>
        <v>1.6434888974673711</v>
      </c>
      <c r="S132" s="3">
        <f t="shared" si="21"/>
        <v>-2.132314369573864</v>
      </c>
      <c r="T132" s="3">
        <f t="shared" si="22"/>
        <v>2.0249999999999999</v>
      </c>
      <c r="V132">
        <f t="shared" si="29"/>
        <v>125</v>
      </c>
      <c r="W132">
        <f t="shared" si="24"/>
        <v>6.9554093241777082E-2</v>
      </c>
      <c r="X132">
        <f t="shared" si="24"/>
        <v>2.6542210893016431</v>
      </c>
      <c r="Y132">
        <f t="shared" si="24"/>
        <v>0.52347487574763818</v>
      </c>
      <c r="Z132">
        <f t="shared" si="25"/>
        <v>-1.5550875251752814</v>
      </c>
      <c r="AA132">
        <f t="shared" si="26"/>
        <v>1.6434888974673711</v>
      </c>
      <c r="AB132">
        <f t="shared" si="27"/>
        <v>0.14626804828690521</v>
      </c>
      <c r="AC132" s="6">
        <f t="shared" si="28"/>
        <v>2.0249999999999999</v>
      </c>
    </row>
    <row r="133" spans="1:29" x14ac:dyDescent="0.2">
      <c r="A133">
        <v>1978.4</v>
      </c>
      <c r="B133" s="2">
        <v>5137.4160000000002</v>
      </c>
      <c r="C133" s="2">
        <v>47.046999999999997</v>
      </c>
      <c r="D133" s="2">
        <v>1487.9</v>
      </c>
      <c r="E133" s="2">
        <v>444.3</v>
      </c>
      <c r="F133" s="2">
        <v>97399.666666666672</v>
      </c>
      <c r="G133" s="2">
        <f t="shared" si="15"/>
        <v>82.018699878459216</v>
      </c>
      <c r="H133" s="2">
        <v>9.5833333333333339</v>
      </c>
      <c r="I133" s="2">
        <v>163024</v>
      </c>
      <c r="J133" s="2">
        <f t="shared" si="16"/>
        <v>0.84457745396521677</v>
      </c>
      <c r="K133" s="2">
        <v>103.3</v>
      </c>
      <c r="L133" s="2">
        <v>46.2</v>
      </c>
      <c r="N133" s="3">
        <f t="shared" si="17"/>
        <v>362.28927379634433</v>
      </c>
      <c r="O133" s="3">
        <f t="shared" si="18"/>
        <v>241.42717390716544</v>
      </c>
      <c r="P133" s="3">
        <f t="shared" si="19"/>
        <v>871.32243394787918</v>
      </c>
      <c r="Q133" s="3">
        <f t="shared" si="20"/>
        <v>460.83332898741389</v>
      </c>
      <c r="R133" s="3">
        <f t="shared" si="23"/>
        <v>2.0941711838770694</v>
      </c>
      <c r="S133" s="3">
        <f t="shared" si="21"/>
        <v>-1.8167303955448824</v>
      </c>
      <c r="T133" s="3">
        <f t="shared" si="22"/>
        <v>2.3958333333333335</v>
      </c>
      <c r="V133">
        <f t="shared" si="29"/>
        <v>126</v>
      </c>
      <c r="W133">
        <f t="shared" si="24"/>
        <v>0.10907874492727387</v>
      </c>
      <c r="X133">
        <f t="shared" si="24"/>
        <v>1.5513797253455266</v>
      </c>
      <c r="Y133">
        <f t="shared" si="24"/>
        <v>0.84124174672251684</v>
      </c>
      <c r="Z133">
        <f t="shared" si="25"/>
        <v>-1.0837381669643946</v>
      </c>
      <c r="AA133">
        <f t="shared" si="26"/>
        <v>2.0941711838770694</v>
      </c>
      <c r="AB133">
        <f t="shared" si="27"/>
        <v>0.31558397402898164</v>
      </c>
      <c r="AC133" s="6">
        <f t="shared" si="28"/>
        <v>2.3958333333333335</v>
      </c>
    </row>
    <row r="134" spans="1:29" x14ac:dyDescent="0.2">
      <c r="A134">
        <v>1979.1</v>
      </c>
      <c r="B134" s="2">
        <v>5147.43</v>
      </c>
      <c r="C134" s="2">
        <v>47.875999999999998</v>
      </c>
      <c r="D134" s="2">
        <v>1523.6</v>
      </c>
      <c r="E134" s="2">
        <v>457.3</v>
      </c>
      <c r="F134" s="2">
        <v>98252.333333333328</v>
      </c>
      <c r="G134" s="2">
        <f t="shared" ref="G134:G197" si="30">F134/F$188*100</f>
        <v>82.736716826802976</v>
      </c>
      <c r="H134" s="2">
        <v>10.073333333333334</v>
      </c>
      <c r="I134" s="2">
        <v>163756.33333333334</v>
      </c>
      <c r="J134" s="2">
        <f t="shared" ref="J134:J197" si="31">I134/I$188</f>
        <v>0.84837144885014493</v>
      </c>
      <c r="K134" s="2">
        <v>102.9</v>
      </c>
      <c r="L134" s="2">
        <v>47.5</v>
      </c>
      <c r="N134" s="3">
        <f t="shared" ref="N134:N197" si="32">LN((D134/C134)/J134)*100</f>
        <v>362.46536093859726</v>
      </c>
      <c r="O134" s="3">
        <f t="shared" ref="O134:O197" si="33">LN((E134/C134)/J134)*100</f>
        <v>242.11620054455335</v>
      </c>
      <c r="P134" s="3">
        <f t="shared" ref="P134:P197" si="34">LN(B134/J134)*100</f>
        <v>871.06895497677431</v>
      </c>
      <c r="Q134" s="3">
        <f t="shared" ref="Q134:Q197" si="35">LN((K134*G134/100)/J134)*100</f>
        <v>460.86876462862631</v>
      </c>
      <c r="R134" s="3">
        <f t="shared" si="23"/>
        <v>1.7467232967982138</v>
      </c>
      <c r="S134" s="3">
        <f t="shared" ref="S134:S197" si="36">LN(L134/C134)*100</f>
        <v>-0.78846239705284094</v>
      </c>
      <c r="T134" s="3">
        <f t="shared" ref="T134:T197" si="37">H134/4</f>
        <v>2.5183333333333335</v>
      </c>
      <c r="V134">
        <f t="shared" si="29"/>
        <v>127</v>
      </c>
      <c r="W134">
        <f t="shared" si="24"/>
        <v>0.17608714225292488</v>
      </c>
      <c r="X134">
        <f t="shared" si="24"/>
        <v>0.68902663738791148</v>
      </c>
      <c r="Y134">
        <f t="shared" si="24"/>
        <v>-0.25347897110486883</v>
      </c>
      <c r="Z134">
        <f t="shared" si="25"/>
        <v>-1.0483025257519785</v>
      </c>
      <c r="AA134">
        <f t="shared" si="26"/>
        <v>1.7467232967982138</v>
      </c>
      <c r="AB134">
        <f t="shared" si="27"/>
        <v>1.0282679984920415</v>
      </c>
      <c r="AC134" s="6">
        <f t="shared" si="28"/>
        <v>2.5183333333333335</v>
      </c>
    </row>
    <row r="135" spans="1:29" x14ac:dyDescent="0.2">
      <c r="A135">
        <v>1979.2</v>
      </c>
      <c r="B135" s="2">
        <v>5152.3379999999997</v>
      </c>
      <c r="C135" s="2">
        <v>49.058</v>
      </c>
      <c r="D135" s="2">
        <v>1564.3</v>
      </c>
      <c r="E135" s="2">
        <v>465.6</v>
      </c>
      <c r="F135" s="2">
        <v>98371</v>
      </c>
      <c r="G135" s="2">
        <f t="shared" si="30"/>
        <v>82.836644126885218</v>
      </c>
      <c r="H135" s="2">
        <v>10.18</v>
      </c>
      <c r="I135" s="2">
        <v>164447</v>
      </c>
      <c r="J135" s="2">
        <f t="shared" si="31"/>
        <v>0.85194958148627198</v>
      </c>
      <c r="K135" s="2">
        <v>102.4</v>
      </c>
      <c r="L135" s="2">
        <v>48.5</v>
      </c>
      <c r="N135" s="3">
        <f t="shared" si="32"/>
        <v>362.24183775399672</v>
      </c>
      <c r="O135" s="3">
        <f t="shared" si="33"/>
        <v>241.05515553894713</v>
      </c>
      <c r="P135" s="3">
        <f t="shared" si="34"/>
        <v>870.74338017854325</v>
      </c>
      <c r="Q135" s="3">
        <f t="shared" si="35"/>
        <v>460.08149825889257</v>
      </c>
      <c r="R135" s="3">
        <f t="shared" ref="R135:R198" si="38">(LN(C135)-LN(C134))*100</f>
        <v>2.4388936579767151</v>
      </c>
      <c r="S135" s="3">
        <f t="shared" si="36"/>
        <v>-1.1439473647453717</v>
      </c>
      <c r="T135" s="3">
        <f t="shared" si="37"/>
        <v>2.5449999999999999</v>
      </c>
      <c r="V135">
        <f t="shared" si="29"/>
        <v>128</v>
      </c>
      <c r="W135">
        <f t="shared" si="24"/>
        <v>-0.22352318460053766</v>
      </c>
      <c r="X135">
        <f t="shared" si="24"/>
        <v>-1.0610450056062177</v>
      </c>
      <c r="Y135">
        <f t="shared" si="24"/>
        <v>-0.3255747982310595</v>
      </c>
      <c r="Z135">
        <f t="shared" si="25"/>
        <v>-1.8355688954857214</v>
      </c>
      <c r="AA135">
        <f t="shared" si="26"/>
        <v>2.4388936579767151</v>
      </c>
      <c r="AB135">
        <f t="shared" si="27"/>
        <v>-0.3554849676925308</v>
      </c>
      <c r="AC135" s="6">
        <f t="shared" si="28"/>
        <v>2.5449999999999999</v>
      </c>
    </row>
    <row r="136" spans="1:29" x14ac:dyDescent="0.2">
      <c r="A136">
        <v>1979.3</v>
      </c>
      <c r="B136" s="2">
        <v>5189.4459999999999</v>
      </c>
      <c r="C136" s="2">
        <v>50.115000000000002</v>
      </c>
      <c r="D136" s="2">
        <v>1618.6</v>
      </c>
      <c r="E136" s="2">
        <v>485.7</v>
      </c>
      <c r="F136" s="2">
        <v>99040.666666666672</v>
      </c>
      <c r="G136" s="2">
        <f t="shared" si="30"/>
        <v>83.400559705158329</v>
      </c>
      <c r="H136" s="2">
        <v>10.946666666666667</v>
      </c>
      <c r="I136" s="2">
        <v>165199.66666666666</v>
      </c>
      <c r="J136" s="2">
        <f t="shared" si="31"/>
        <v>0.855848917148615</v>
      </c>
      <c r="K136" s="2">
        <v>102.7</v>
      </c>
      <c r="L136" s="2">
        <v>49.6</v>
      </c>
      <c r="N136" s="3">
        <f t="shared" si="32"/>
        <v>363.06579096610483</v>
      </c>
      <c r="O136" s="3">
        <f t="shared" si="33"/>
        <v>242.69322019511455</v>
      </c>
      <c r="P136" s="3">
        <f t="shared" si="34"/>
        <v>871.00436438007341</v>
      </c>
      <c r="Q136" s="3">
        <f t="shared" si="35"/>
        <v>460.59583684579042</v>
      </c>
      <c r="R136" s="3">
        <f t="shared" si="38"/>
        <v>2.1317092885938305</v>
      </c>
      <c r="S136" s="3">
        <f t="shared" si="36"/>
        <v>-1.0329530745947713</v>
      </c>
      <c r="T136" s="3">
        <f t="shared" si="37"/>
        <v>2.7366666666666668</v>
      </c>
      <c r="V136">
        <f t="shared" si="29"/>
        <v>129</v>
      </c>
      <c r="W136">
        <f t="shared" ref="W136:Y199" si="39">N136-N135</f>
        <v>0.82395321210810835</v>
      </c>
      <c r="X136">
        <f t="shared" si="39"/>
        <v>1.6380646561674155</v>
      </c>
      <c r="Y136">
        <f t="shared" si="39"/>
        <v>0.26098420153016377</v>
      </c>
      <c r="Z136">
        <f t="shared" ref="Z136:Z199" si="40">Q136-Q$239</f>
        <v>-1.3212303085878716</v>
      </c>
      <c r="AA136">
        <f t="shared" ref="AA136:AA199" si="41">R136</f>
        <v>2.1317092885938305</v>
      </c>
      <c r="AB136">
        <f t="shared" ref="AB136:AB199" si="42">S136-S135</f>
        <v>0.11099429015060047</v>
      </c>
      <c r="AC136" s="6">
        <f t="shared" ref="AC136:AC199" si="43">T136</f>
        <v>2.7366666666666668</v>
      </c>
    </row>
    <row r="137" spans="1:29" x14ac:dyDescent="0.2">
      <c r="A137">
        <v>1979.4</v>
      </c>
      <c r="B137" s="2">
        <v>5204.6620000000003</v>
      </c>
      <c r="C137" s="2">
        <v>51.116999999999997</v>
      </c>
      <c r="D137" s="2">
        <v>1662.2</v>
      </c>
      <c r="E137" s="2">
        <v>491</v>
      </c>
      <c r="F137" s="2">
        <v>99637</v>
      </c>
      <c r="G137" s="2">
        <f t="shared" si="30"/>
        <v>83.902722457537919</v>
      </c>
      <c r="H137" s="2">
        <v>13.576666666666666</v>
      </c>
      <c r="I137" s="2">
        <v>166054.66666666666</v>
      </c>
      <c r="J137" s="2">
        <f t="shared" si="31"/>
        <v>0.86027841049401366</v>
      </c>
      <c r="K137" s="2">
        <v>102.6</v>
      </c>
      <c r="L137" s="2">
        <v>50.8</v>
      </c>
      <c r="N137" s="3">
        <f t="shared" si="32"/>
        <v>363.22793912099877</v>
      </c>
      <c r="O137" s="3">
        <f t="shared" si="33"/>
        <v>241.28262138855825</v>
      </c>
      <c r="P137" s="3">
        <f t="shared" si="34"/>
        <v>870.78092503727703</v>
      </c>
      <c r="Q137" s="3">
        <f t="shared" si="35"/>
        <v>460.58250175259133</v>
      </c>
      <c r="R137" s="3">
        <f t="shared" si="38"/>
        <v>1.9796758424382332</v>
      </c>
      <c r="S137" s="3">
        <f t="shared" si="36"/>
        <v>-0.62207683167756467</v>
      </c>
      <c r="T137" s="3">
        <f t="shared" si="37"/>
        <v>3.3941666666666666</v>
      </c>
      <c r="V137">
        <f t="shared" si="29"/>
        <v>130</v>
      </c>
      <c r="W137">
        <f t="shared" si="39"/>
        <v>0.16214815489394141</v>
      </c>
      <c r="X137">
        <f t="shared" si="39"/>
        <v>-1.410598806556294</v>
      </c>
      <c r="Y137">
        <f t="shared" si="39"/>
        <v>-0.22343934279638233</v>
      </c>
      <c r="Z137">
        <f t="shared" si="40"/>
        <v>-1.3345654017869606</v>
      </c>
      <c r="AA137">
        <f t="shared" si="41"/>
        <v>1.9796758424382332</v>
      </c>
      <c r="AB137">
        <f t="shared" si="42"/>
        <v>0.41087624291720659</v>
      </c>
      <c r="AC137" s="6">
        <f t="shared" si="43"/>
        <v>3.3941666666666666</v>
      </c>
    </row>
    <row r="138" spans="1:29" x14ac:dyDescent="0.2">
      <c r="A138">
        <v>1980.1</v>
      </c>
      <c r="B138" s="2">
        <v>5221.2529999999997</v>
      </c>
      <c r="C138" s="2">
        <v>52.195</v>
      </c>
      <c r="D138" s="2">
        <v>1709.1</v>
      </c>
      <c r="E138" s="2">
        <v>495.3</v>
      </c>
      <c r="F138" s="2">
        <v>99862.333333333328</v>
      </c>
      <c r="G138" s="2">
        <f t="shared" si="30"/>
        <v>84.092472049828913</v>
      </c>
      <c r="H138" s="2">
        <v>15.046666666666667</v>
      </c>
      <c r="I138" s="2">
        <v>166762.33333333334</v>
      </c>
      <c r="J138" s="2">
        <f t="shared" si="31"/>
        <v>0.86394461492765162</v>
      </c>
      <c r="K138" s="2">
        <v>102.1</v>
      </c>
      <c r="L138" s="2">
        <v>52.3</v>
      </c>
      <c r="N138" s="3">
        <f t="shared" si="32"/>
        <v>363.49821056199659</v>
      </c>
      <c r="O138" s="3">
        <f t="shared" si="33"/>
        <v>239.64235500596988</v>
      </c>
      <c r="P138" s="3">
        <f t="shared" si="34"/>
        <v>870.67393057120432</v>
      </c>
      <c r="Q138" s="3">
        <f t="shared" si="35"/>
        <v>459.89462055881296</v>
      </c>
      <c r="R138" s="3">
        <f t="shared" si="38"/>
        <v>2.0869581959049643</v>
      </c>
      <c r="S138" s="3">
        <f t="shared" si="36"/>
        <v>0.20096662106153396</v>
      </c>
      <c r="T138" s="3">
        <f t="shared" si="37"/>
        <v>3.7616666666666667</v>
      </c>
      <c r="V138">
        <f t="shared" ref="V138:V201" si="44">V137+1</f>
        <v>131</v>
      </c>
      <c r="W138">
        <f t="shared" si="39"/>
        <v>0.27027144099781708</v>
      </c>
      <c r="X138">
        <f t="shared" si="39"/>
        <v>-1.6402663825883792</v>
      </c>
      <c r="Y138">
        <f t="shared" si="39"/>
        <v>-0.10699446607270602</v>
      </c>
      <c r="Z138">
        <f t="shared" si="40"/>
        <v>-2.0224465955653272</v>
      </c>
      <c r="AA138">
        <f t="shared" si="41"/>
        <v>2.0869581959049643</v>
      </c>
      <c r="AB138">
        <f t="shared" si="42"/>
        <v>0.82304345273909862</v>
      </c>
      <c r="AC138" s="6">
        <f t="shared" si="43"/>
        <v>3.7616666666666667</v>
      </c>
    </row>
    <row r="139" spans="1:29" x14ac:dyDescent="0.2">
      <c r="A139">
        <v>1980.2</v>
      </c>
      <c r="B139" s="2">
        <v>5115.9170000000004</v>
      </c>
      <c r="C139" s="2">
        <v>53.348999999999997</v>
      </c>
      <c r="D139" s="2">
        <v>1711.2</v>
      </c>
      <c r="E139" s="2">
        <v>462.7</v>
      </c>
      <c r="F139" s="2">
        <v>98953.333333333328</v>
      </c>
      <c r="G139" s="2">
        <f t="shared" si="30"/>
        <v>83.327017703412395</v>
      </c>
      <c r="H139" s="2">
        <v>12.686666666666667</v>
      </c>
      <c r="I139" s="2">
        <v>167415.66666666666</v>
      </c>
      <c r="J139" s="2">
        <f t="shared" si="31"/>
        <v>0.86732933498885278</v>
      </c>
      <c r="K139" s="2">
        <v>101.3</v>
      </c>
      <c r="L139" s="2">
        <v>53.7</v>
      </c>
      <c r="N139" s="3">
        <f t="shared" si="32"/>
        <v>361.04314428552863</v>
      </c>
      <c r="O139" s="3">
        <f t="shared" si="33"/>
        <v>230.25601810000444</v>
      </c>
      <c r="P139" s="3">
        <f t="shared" si="34"/>
        <v>868.24484574716564</v>
      </c>
      <c r="Q139" s="3">
        <f t="shared" si="35"/>
        <v>457.80255825463331</v>
      </c>
      <c r="R139" s="3">
        <f t="shared" si="38"/>
        <v>2.1868528569371382</v>
      </c>
      <c r="S139" s="3">
        <f t="shared" si="36"/>
        <v>0.655776808518586</v>
      </c>
      <c r="T139" s="3">
        <f t="shared" si="37"/>
        <v>3.1716666666666669</v>
      </c>
      <c r="V139">
        <f t="shared" si="44"/>
        <v>132</v>
      </c>
      <c r="W139">
        <f t="shared" si="39"/>
        <v>-2.4550662764679601</v>
      </c>
      <c r="X139">
        <f t="shared" si="39"/>
        <v>-9.386336905965436</v>
      </c>
      <c r="Y139">
        <f t="shared" si="39"/>
        <v>-2.4290848240386822</v>
      </c>
      <c r="Z139">
        <f t="shared" si="40"/>
        <v>-4.1145088997449761</v>
      </c>
      <c r="AA139">
        <f t="shared" si="41"/>
        <v>2.1868528569371382</v>
      </c>
      <c r="AB139">
        <f t="shared" si="42"/>
        <v>0.45481018745705204</v>
      </c>
      <c r="AC139" s="6">
        <f t="shared" si="43"/>
        <v>3.1716666666666669</v>
      </c>
    </row>
    <row r="140" spans="1:29" x14ac:dyDescent="0.2">
      <c r="A140">
        <v>1980.3</v>
      </c>
      <c r="B140" s="2">
        <v>5107.3760000000002</v>
      </c>
      <c r="C140" s="2">
        <v>54.56</v>
      </c>
      <c r="D140" s="2">
        <v>1770.1</v>
      </c>
      <c r="E140" s="2">
        <v>477.3</v>
      </c>
      <c r="F140" s="2">
        <v>98899</v>
      </c>
      <c r="G140" s="2">
        <f t="shared" si="30"/>
        <v>83.281264473318572</v>
      </c>
      <c r="H140" s="2">
        <v>9.836666666666666</v>
      </c>
      <c r="I140" s="2">
        <v>168110.66666666666</v>
      </c>
      <c r="J140" s="2">
        <f t="shared" si="31"/>
        <v>0.87092991729885516</v>
      </c>
      <c r="K140" s="2">
        <v>101.2</v>
      </c>
      <c r="L140" s="2">
        <v>55.1</v>
      </c>
      <c r="N140" s="3">
        <f t="shared" si="32"/>
        <v>361.76840753222564</v>
      </c>
      <c r="O140" s="3">
        <f t="shared" si="33"/>
        <v>230.7037978186996</v>
      </c>
      <c r="P140" s="3">
        <f t="shared" si="34"/>
        <v>867.66348160848975</v>
      </c>
      <c r="Q140" s="3">
        <f t="shared" si="35"/>
        <v>457.23459461642699</v>
      </c>
      <c r="R140" s="3">
        <f t="shared" si="38"/>
        <v>2.2445780105573743</v>
      </c>
      <c r="S140" s="3">
        <f t="shared" si="36"/>
        <v>0.98487026236620256</v>
      </c>
      <c r="T140" s="3">
        <f t="shared" si="37"/>
        <v>2.4591666666666665</v>
      </c>
      <c r="V140">
        <f t="shared" si="44"/>
        <v>133</v>
      </c>
      <c r="W140">
        <f t="shared" si="39"/>
        <v>0.72526324669701125</v>
      </c>
      <c r="X140">
        <f t="shared" si="39"/>
        <v>0.44777971869515909</v>
      </c>
      <c r="Y140">
        <f t="shared" si="39"/>
        <v>-0.58136413867589454</v>
      </c>
      <c r="Z140">
        <f t="shared" si="40"/>
        <v>-4.6824725379512984</v>
      </c>
      <c r="AA140">
        <f t="shared" si="41"/>
        <v>2.2445780105573743</v>
      </c>
      <c r="AB140">
        <f t="shared" si="42"/>
        <v>0.32909345384761657</v>
      </c>
      <c r="AC140" s="6">
        <f t="shared" si="43"/>
        <v>2.4591666666666665</v>
      </c>
    </row>
    <row r="141" spans="1:29" x14ac:dyDescent="0.2">
      <c r="A141">
        <v>1980.4</v>
      </c>
      <c r="B141" s="2">
        <v>5202.1099999999997</v>
      </c>
      <c r="C141" s="2">
        <v>56.070999999999998</v>
      </c>
      <c r="D141" s="2">
        <v>1838.1</v>
      </c>
      <c r="E141" s="2">
        <v>507</v>
      </c>
      <c r="F141" s="2">
        <v>99498.666666666672</v>
      </c>
      <c r="G141" s="2">
        <f t="shared" si="30"/>
        <v>83.786234172329685</v>
      </c>
      <c r="H141" s="2">
        <v>15.853333333333333</v>
      </c>
      <c r="I141" s="2">
        <v>168693.66666666666</v>
      </c>
      <c r="J141" s="2">
        <f t="shared" si="31"/>
        <v>0.8739502618840802</v>
      </c>
      <c r="K141" s="2">
        <v>101.5</v>
      </c>
      <c r="L141" s="2">
        <v>56.6</v>
      </c>
      <c r="N141" s="3">
        <f t="shared" si="32"/>
        <v>362.46007771192888</v>
      </c>
      <c r="O141" s="3">
        <f t="shared" si="33"/>
        <v>233.66240723107535</v>
      </c>
      <c r="P141" s="3">
        <f t="shared" si="34"/>
        <v>869.15514050436241</v>
      </c>
      <c r="Q141" s="3">
        <f t="shared" si="35"/>
        <v>457.78891500134665</v>
      </c>
      <c r="R141" s="3">
        <f t="shared" si="38"/>
        <v>2.7317731290630753</v>
      </c>
      <c r="S141" s="3">
        <f t="shared" si="36"/>
        <v>0.93902403832996773</v>
      </c>
      <c r="T141" s="3">
        <f t="shared" si="37"/>
        <v>3.9633333333333334</v>
      </c>
      <c r="V141">
        <f t="shared" si="44"/>
        <v>134</v>
      </c>
      <c r="W141">
        <f t="shared" si="39"/>
        <v>0.69167017970323741</v>
      </c>
      <c r="X141">
        <f t="shared" si="39"/>
        <v>2.9586094123757505</v>
      </c>
      <c r="Y141">
        <f t="shared" si="39"/>
        <v>1.4916588958726607</v>
      </c>
      <c r="Z141">
        <f t="shared" si="40"/>
        <v>-4.1281521530316354</v>
      </c>
      <c r="AA141">
        <f t="shared" si="41"/>
        <v>2.7317731290630753</v>
      </c>
      <c r="AB141">
        <f t="shared" si="42"/>
        <v>-4.5846224036234839E-2</v>
      </c>
      <c r="AC141" s="6">
        <f t="shared" si="43"/>
        <v>3.9633333333333334</v>
      </c>
    </row>
    <row r="142" spans="1:29" x14ac:dyDescent="0.2">
      <c r="A142">
        <v>1981.1</v>
      </c>
      <c r="B142" s="2">
        <v>5307.5439999999999</v>
      </c>
      <c r="C142" s="2">
        <v>57.517000000000003</v>
      </c>
      <c r="D142" s="2">
        <v>1893.7</v>
      </c>
      <c r="E142" s="2">
        <v>524.4</v>
      </c>
      <c r="F142" s="2">
        <v>100239</v>
      </c>
      <c r="G142" s="2">
        <f t="shared" si="30"/>
        <v>84.409657019191101</v>
      </c>
      <c r="H142" s="2">
        <v>16.57</v>
      </c>
      <c r="I142" s="2">
        <v>169279</v>
      </c>
      <c r="J142" s="2">
        <f t="shared" si="31"/>
        <v>0.87698269475523805</v>
      </c>
      <c r="K142" s="2">
        <v>101.6</v>
      </c>
      <c r="L142" s="2">
        <v>58.1</v>
      </c>
      <c r="N142" s="3">
        <f t="shared" si="32"/>
        <v>362.54753291129111</v>
      </c>
      <c r="O142" s="3">
        <f t="shared" si="33"/>
        <v>234.14422147335964</v>
      </c>
      <c r="P142" s="3">
        <f t="shared" si="34"/>
        <v>870.81525028232659</v>
      </c>
      <c r="Q142" s="3">
        <f t="shared" si="35"/>
        <v>458.28231829962124</v>
      </c>
      <c r="R142" s="3">
        <f t="shared" si="38"/>
        <v>2.5461811454889016</v>
      </c>
      <c r="S142" s="3">
        <f t="shared" si="36"/>
        <v>1.0085107577139329</v>
      </c>
      <c r="T142" s="3">
        <f t="shared" si="37"/>
        <v>4.1425000000000001</v>
      </c>
      <c r="V142">
        <f t="shared" si="44"/>
        <v>135</v>
      </c>
      <c r="W142">
        <f t="shared" si="39"/>
        <v>8.7455199362239E-2</v>
      </c>
      <c r="X142">
        <f t="shared" si="39"/>
        <v>0.48181424228428682</v>
      </c>
      <c r="Y142">
        <f t="shared" si="39"/>
        <v>1.6601097779641805</v>
      </c>
      <c r="Z142">
        <f t="shared" si="40"/>
        <v>-3.6347488547570492</v>
      </c>
      <c r="AA142">
        <f t="shared" si="41"/>
        <v>2.5461811454889016</v>
      </c>
      <c r="AB142">
        <f t="shared" si="42"/>
        <v>6.9486719383965223E-2</v>
      </c>
      <c r="AC142" s="6">
        <f t="shared" si="43"/>
        <v>4.1425000000000001</v>
      </c>
    </row>
    <row r="143" spans="1:29" x14ac:dyDescent="0.2">
      <c r="A143">
        <v>1981.2</v>
      </c>
      <c r="B143" s="2">
        <v>5266.1170000000002</v>
      </c>
      <c r="C143" s="2">
        <v>58.597999999999999</v>
      </c>
      <c r="D143" s="2">
        <v>1925.5</v>
      </c>
      <c r="E143" s="2">
        <v>539.70000000000005</v>
      </c>
      <c r="F143" s="2">
        <v>100800.66666666667</v>
      </c>
      <c r="G143" s="2">
        <f t="shared" si="30"/>
        <v>84.882627526602832</v>
      </c>
      <c r="H143" s="2">
        <v>17.78</v>
      </c>
      <c r="I143" s="2">
        <v>169837.33333333334</v>
      </c>
      <c r="J143" s="2">
        <f t="shared" si="31"/>
        <v>0.8798752488891729</v>
      </c>
      <c r="K143" s="2">
        <v>101.2</v>
      </c>
      <c r="L143" s="2">
        <v>59.1</v>
      </c>
      <c r="N143" s="3">
        <f t="shared" si="32"/>
        <v>362.02155311323565</v>
      </c>
      <c r="O143" s="3">
        <f t="shared" si="33"/>
        <v>234.82880075019898</v>
      </c>
      <c r="P143" s="3">
        <f t="shared" si="34"/>
        <v>869.70237019968124</v>
      </c>
      <c r="Q143" s="3">
        <f t="shared" si="35"/>
        <v>458.11731646569348</v>
      </c>
      <c r="R143" s="3">
        <f t="shared" si="38"/>
        <v>1.8620010026975997</v>
      </c>
      <c r="S143" s="3">
        <f t="shared" si="36"/>
        <v>0.8530358104349548</v>
      </c>
      <c r="T143" s="3">
        <f t="shared" si="37"/>
        <v>4.4450000000000003</v>
      </c>
      <c r="V143">
        <f t="shared" si="44"/>
        <v>136</v>
      </c>
      <c r="W143">
        <f t="shared" si="39"/>
        <v>-0.52597979805545947</v>
      </c>
      <c r="X143">
        <f t="shared" si="39"/>
        <v>0.68457927683934372</v>
      </c>
      <c r="Y143">
        <f t="shared" si="39"/>
        <v>-1.1128800826453471</v>
      </c>
      <c r="Z143">
        <f t="shared" si="40"/>
        <v>-3.79975068868481</v>
      </c>
      <c r="AA143">
        <f t="shared" si="41"/>
        <v>1.8620010026975997</v>
      </c>
      <c r="AB143">
        <f t="shared" si="42"/>
        <v>-0.15547494727897815</v>
      </c>
      <c r="AC143" s="6">
        <f t="shared" si="43"/>
        <v>4.4450000000000003</v>
      </c>
    </row>
    <row r="144" spans="1:29" x14ac:dyDescent="0.2">
      <c r="A144">
        <v>1981.3</v>
      </c>
      <c r="B144" s="2">
        <v>5329.8289999999997</v>
      </c>
      <c r="C144" s="2">
        <v>59.640999999999998</v>
      </c>
      <c r="D144" s="2">
        <v>1965.1</v>
      </c>
      <c r="E144" s="2">
        <v>548.79999999999995</v>
      </c>
      <c r="F144" s="2">
        <v>100482</v>
      </c>
      <c r="G144" s="2">
        <f t="shared" si="30"/>
        <v>84.614283428629165</v>
      </c>
      <c r="H144" s="2">
        <v>17.576666666666664</v>
      </c>
      <c r="I144" s="2">
        <v>170412.66666666666</v>
      </c>
      <c r="J144" s="2">
        <f t="shared" si="31"/>
        <v>0.88285587482061834</v>
      </c>
      <c r="K144" s="2">
        <v>100.8</v>
      </c>
      <c r="L144" s="2">
        <v>60.4</v>
      </c>
      <c r="N144" s="3">
        <f t="shared" si="32"/>
        <v>361.95484704415355</v>
      </c>
      <c r="O144" s="3">
        <f t="shared" si="33"/>
        <v>234.39841332594889</v>
      </c>
      <c r="P144" s="3">
        <f t="shared" si="34"/>
        <v>870.56677479677114</v>
      </c>
      <c r="Q144" s="3">
        <f t="shared" si="35"/>
        <v>457.06645707381978</v>
      </c>
      <c r="R144" s="3">
        <f t="shared" si="38"/>
        <v>1.7642690718554732</v>
      </c>
      <c r="S144" s="3">
        <f t="shared" si="36"/>
        <v>1.2645847914512354</v>
      </c>
      <c r="T144" s="3">
        <f t="shared" si="37"/>
        <v>4.3941666666666661</v>
      </c>
      <c r="V144">
        <f t="shared" si="44"/>
        <v>137</v>
      </c>
      <c r="W144">
        <f t="shared" si="39"/>
        <v>-6.6706069082101749E-2</v>
      </c>
      <c r="X144">
        <f t="shared" si="39"/>
        <v>-0.43038742425008536</v>
      </c>
      <c r="Y144">
        <f t="shared" si="39"/>
        <v>0.86440459708990147</v>
      </c>
      <c r="Z144">
        <f t="shared" si="40"/>
        <v>-4.8506100805585106</v>
      </c>
      <c r="AA144">
        <f t="shared" si="41"/>
        <v>1.7642690718554732</v>
      </c>
      <c r="AB144">
        <f t="shared" si="42"/>
        <v>0.41154898101628057</v>
      </c>
      <c r="AC144" s="6">
        <f t="shared" si="43"/>
        <v>4.3941666666666661</v>
      </c>
    </row>
    <row r="145" spans="1:29" x14ac:dyDescent="0.2">
      <c r="A145">
        <v>1981.4</v>
      </c>
      <c r="B145" s="2">
        <v>5263.3680000000004</v>
      </c>
      <c r="C145" s="2">
        <v>60.728999999999999</v>
      </c>
      <c r="D145" s="2">
        <v>1979.9</v>
      </c>
      <c r="E145" s="2">
        <v>557.4</v>
      </c>
      <c r="F145" s="2">
        <v>100076.66666666667</v>
      </c>
      <c r="G145" s="2">
        <f t="shared" si="30"/>
        <v>84.272958718235884</v>
      </c>
      <c r="H145" s="2">
        <v>13.586666666666666</v>
      </c>
      <c r="I145" s="2">
        <v>170990.33333333334</v>
      </c>
      <c r="J145" s="2">
        <f t="shared" si="31"/>
        <v>0.8858485890379969</v>
      </c>
      <c r="K145" s="2">
        <v>101</v>
      </c>
      <c r="L145" s="2">
        <v>61.3</v>
      </c>
      <c r="N145" s="3">
        <f t="shared" si="32"/>
        <v>360.5589509629624</v>
      </c>
      <c r="O145" s="3">
        <f t="shared" si="33"/>
        <v>233.80710073148188</v>
      </c>
      <c r="P145" s="3">
        <f t="shared" si="34"/>
        <v>868.97356407215261</v>
      </c>
      <c r="Q145" s="3">
        <f t="shared" si="35"/>
        <v>456.52206057182354</v>
      </c>
      <c r="R145" s="3">
        <f t="shared" si="38"/>
        <v>1.8078086421292383</v>
      </c>
      <c r="S145" s="3">
        <f t="shared" si="36"/>
        <v>0.93584994946157918</v>
      </c>
      <c r="T145" s="3">
        <f t="shared" si="37"/>
        <v>3.3966666666666665</v>
      </c>
      <c r="V145">
        <f t="shared" si="44"/>
        <v>138</v>
      </c>
      <c r="W145">
        <f t="shared" si="39"/>
        <v>-1.3958960811911538</v>
      </c>
      <c r="X145">
        <f t="shared" si="39"/>
        <v>-0.59131259446701279</v>
      </c>
      <c r="Y145">
        <f t="shared" si="39"/>
        <v>-1.5932107246185296</v>
      </c>
      <c r="Z145">
        <f t="shared" si="40"/>
        <v>-5.3950065825547426</v>
      </c>
      <c r="AA145">
        <f t="shared" si="41"/>
        <v>1.8078086421292383</v>
      </c>
      <c r="AB145">
        <f t="shared" si="42"/>
        <v>-0.32873484198965619</v>
      </c>
      <c r="AC145" s="6">
        <f t="shared" si="43"/>
        <v>3.3966666666666665</v>
      </c>
    </row>
    <row r="146" spans="1:29" x14ac:dyDescent="0.2">
      <c r="A146">
        <v>1982.1</v>
      </c>
      <c r="B146" s="2">
        <v>5177.0770000000002</v>
      </c>
      <c r="C146" s="2">
        <v>61.555</v>
      </c>
      <c r="D146" s="2">
        <v>2018</v>
      </c>
      <c r="E146" s="2">
        <v>547.9</v>
      </c>
      <c r="F146" s="2">
        <v>99708.666666666672</v>
      </c>
      <c r="G146" s="2">
        <f t="shared" si="30"/>
        <v>83.963071810115679</v>
      </c>
      <c r="H146" s="2">
        <v>14.226666666666667</v>
      </c>
      <c r="I146" s="2">
        <v>171497</v>
      </c>
      <c r="J146" s="2">
        <f t="shared" si="31"/>
        <v>0.88847347398341825</v>
      </c>
      <c r="K146" s="2">
        <v>100.1</v>
      </c>
      <c r="L146" s="2">
        <v>62.9</v>
      </c>
      <c r="N146" s="3">
        <f t="shared" si="32"/>
        <v>360.8181603477214</v>
      </c>
      <c r="O146" s="3">
        <f t="shared" si="33"/>
        <v>230.44121911080299</v>
      </c>
      <c r="P146" s="3">
        <f t="shared" si="34"/>
        <v>867.02463769333792</v>
      </c>
      <c r="Q146" s="3">
        <f t="shared" si="35"/>
        <v>454.96270678697107</v>
      </c>
      <c r="R146" s="3">
        <f t="shared" si="38"/>
        <v>1.350974065202859</v>
      </c>
      <c r="S146" s="3">
        <f t="shared" si="36"/>
        <v>2.1615079606816554</v>
      </c>
      <c r="T146" s="3">
        <f t="shared" si="37"/>
        <v>3.5566666666666666</v>
      </c>
      <c r="V146">
        <f t="shared" si="44"/>
        <v>139</v>
      </c>
      <c r="W146">
        <f t="shared" si="39"/>
        <v>0.25920938475900357</v>
      </c>
      <c r="X146">
        <f t="shared" si="39"/>
        <v>-3.3658816206788913</v>
      </c>
      <c r="Y146">
        <f t="shared" si="39"/>
        <v>-1.94892637881469</v>
      </c>
      <c r="Z146">
        <f t="shared" si="40"/>
        <v>-6.9543603674072187</v>
      </c>
      <c r="AA146">
        <f t="shared" si="41"/>
        <v>1.350974065202859</v>
      </c>
      <c r="AB146">
        <f t="shared" si="42"/>
        <v>1.2256580112200761</v>
      </c>
      <c r="AC146" s="6">
        <f t="shared" si="43"/>
        <v>3.5566666666666666</v>
      </c>
    </row>
    <row r="147" spans="1:29" x14ac:dyDescent="0.2">
      <c r="A147">
        <v>1982.2</v>
      </c>
      <c r="B147" s="2">
        <v>5204.8590000000004</v>
      </c>
      <c r="C147" s="2">
        <v>62.302</v>
      </c>
      <c r="D147" s="2">
        <v>2044.4</v>
      </c>
      <c r="E147" s="2">
        <v>535</v>
      </c>
      <c r="F147" s="2">
        <v>99745</v>
      </c>
      <c r="G147" s="2">
        <f t="shared" si="30"/>
        <v>83.993667528399286</v>
      </c>
      <c r="H147" s="2">
        <v>14.513333333333334</v>
      </c>
      <c r="I147" s="2">
        <v>172020</v>
      </c>
      <c r="J147" s="2">
        <f t="shared" si="31"/>
        <v>0.89118297693036974</v>
      </c>
      <c r="K147" s="2">
        <v>100.8</v>
      </c>
      <c r="L147" s="2">
        <v>63.4</v>
      </c>
      <c r="N147" s="3">
        <f t="shared" si="32"/>
        <v>360.60716101687962</v>
      </c>
      <c r="O147" s="3">
        <f t="shared" si="33"/>
        <v>226.54787301706781</v>
      </c>
      <c r="P147" s="3">
        <f t="shared" si="34"/>
        <v>867.25534026264995</v>
      </c>
      <c r="Q147" s="3">
        <f t="shared" si="35"/>
        <v>455.39150903656349</v>
      </c>
      <c r="R147" s="3">
        <f t="shared" si="38"/>
        <v>1.2062443907280063</v>
      </c>
      <c r="S147" s="3">
        <f t="shared" si="36"/>
        <v>1.7470333436322423</v>
      </c>
      <c r="T147" s="3">
        <f t="shared" si="37"/>
        <v>3.6283333333333334</v>
      </c>
      <c r="V147">
        <f t="shared" si="44"/>
        <v>140</v>
      </c>
      <c r="W147">
        <f t="shared" si="39"/>
        <v>-0.21099933084178701</v>
      </c>
      <c r="X147">
        <f t="shared" si="39"/>
        <v>-3.8933460937351754</v>
      </c>
      <c r="Y147">
        <f t="shared" si="39"/>
        <v>0.23070256931202948</v>
      </c>
      <c r="Z147">
        <f t="shared" si="40"/>
        <v>-6.5255581178147963</v>
      </c>
      <c r="AA147">
        <f t="shared" si="41"/>
        <v>1.2062443907280063</v>
      </c>
      <c r="AB147">
        <f t="shared" si="42"/>
        <v>-0.41447461704941313</v>
      </c>
      <c r="AC147" s="6">
        <f t="shared" si="43"/>
        <v>3.6283333333333334</v>
      </c>
    </row>
    <row r="148" spans="1:29" x14ac:dyDescent="0.2">
      <c r="A148">
        <v>1982.3</v>
      </c>
      <c r="B148" s="2">
        <v>5185.2250000000004</v>
      </c>
      <c r="C148" s="2">
        <v>63.182000000000002</v>
      </c>
      <c r="D148" s="2">
        <v>2092.4</v>
      </c>
      <c r="E148" s="2">
        <v>522.9</v>
      </c>
      <c r="F148" s="2">
        <v>99543.333333333328</v>
      </c>
      <c r="G148" s="2">
        <f t="shared" si="30"/>
        <v>83.823847257192099</v>
      </c>
      <c r="H148" s="2">
        <v>11.006666666666668</v>
      </c>
      <c r="I148" s="2">
        <v>172521.66666666666</v>
      </c>
      <c r="J148" s="2">
        <f t="shared" si="31"/>
        <v>0.89378195840593488</v>
      </c>
      <c r="K148" s="2">
        <v>100.8</v>
      </c>
      <c r="L148" s="2">
        <v>64.400000000000006</v>
      </c>
      <c r="N148" s="3">
        <f t="shared" si="32"/>
        <v>361.23409889925523</v>
      </c>
      <c r="O148" s="3">
        <f t="shared" si="33"/>
        <v>222.56642186901817</v>
      </c>
      <c r="P148" s="3">
        <f t="shared" si="34"/>
        <v>866.58619420852801</v>
      </c>
      <c r="Q148" s="3">
        <f t="shared" si="35"/>
        <v>454.89791380849283</v>
      </c>
      <c r="R148" s="3">
        <f t="shared" si="38"/>
        <v>1.4025922453264172</v>
      </c>
      <c r="S148" s="3">
        <f t="shared" si="36"/>
        <v>1.9094182650185265</v>
      </c>
      <c r="T148" s="3">
        <f t="shared" si="37"/>
        <v>2.7516666666666669</v>
      </c>
      <c r="V148">
        <f t="shared" si="44"/>
        <v>141</v>
      </c>
      <c r="W148">
        <f t="shared" si="39"/>
        <v>0.62693788237561421</v>
      </c>
      <c r="X148">
        <f t="shared" si="39"/>
        <v>-3.9814511480496435</v>
      </c>
      <c r="Y148">
        <f t="shared" si="39"/>
        <v>-0.6691460541219385</v>
      </c>
      <c r="Z148">
        <f t="shared" si="40"/>
        <v>-7.0191533458854565</v>
      </c>
      <c r="AA148">
        <f t="shared" si="41"/>
        <v>1.4025922453264172</v>
      </c>
      <c r="AB148">
        <f t="shared" si="42"/>
        <v>0.16238492138628424</v>
      </c>
      <c r="AC148" s="6">
        <f t="shared" si="43"/>
        <v>2.7516666666666669</v>
      </c>
    </row>
    <row r="149" spans="1:29" x14ac:dyDescent="0.2">
      <c r="A149">
        <v>1982.4</v>
      </c>
      <c r="B149" s="2">
        <v>5189.8389999999999</v>
      </c>
      <c r="C149" s="2">
        <v>63.863</v>
      </c>
      <c r="D149" s="2">
        <v>2154.1999999999998</v>
      </c>
      <c r="E149" s="2">
        <v>522.79999999999995</v>
      </c>
      <c r="F149" s="2">
        <v>99119.666666666672</v>
      </c>
      <c r="G149" s="2">
        <f t="shared" si="30"/>
        <v>83.467084340325442</v>
      </c>
      <c r="H149" s="2">
        <v>9.2866666666666671</v>
      </c>
      <c r="I149" s="2">
        <v>173046</v>
      </c>
      <c r="J149" s="2">
        <f t="shared" si="31"/>
        <v>0.89649836894484802</v>
      </c>
      <c r="K149" s="2">
        <v>100.8</v>
      </c>
      <c r="L149" s="2">
        <v>65.2</v>
      </c>
      <c r="N149" s="3">
        <f t="shared" si="32"/>
        <v>362.76933452669869</v>
      </c>
      <c r="O149" s="3">
        <f t="shared" si="33"/>
        <v>221.17176231003839</v>
      </c>
      <c r="P149" s="3">
        <f t="shared" si="34"/>
        <v>866.37167597815528</v>
      </c>
      <c r="Q149" s="3">
        <f t="shared" si="35"/>
        <v>454.16793295692628</v>
      </c>
      <c r="R149" s="3">
        <f t="shared" si="38"/>
        <v>1.0720713486951361</v>
      </c>
      <c r="S149" s="3">
        <f t="shared" si="36"/>
        <v>2.0719304985533595</v>
      </c>
      <c r="T149" s="3">
        <f t="shared" si="37"/>
        <v>2.3216666666666668</v>
      </c>
      <c r="V149">
        <f t="shared" si="44"/>
        <v>142</v>
      </c>
      <c r="W149">
        <f t="shared" si="39"/>
        <v>1.5352356274434555</v>
      </c>
      <c r="X149">
        <f t="shared" si="39"/>
        <v>-1.3946595589797823</v>
      </c>
      <c r="Y149">
        <f t="shared" si="39"/>
        <v>-0.21451823037273243</v>
      </c>
      <c r="Z149">
        <f t="shared" si="40"/>
        <v>-7.7491341974520083</v>
      </c>
      <c r="AA149">
        <f t="shared" si="41"/>
        <v>1.0720713486951361</v>
      </c>
      <c r="AB149">
        <f t="shared" si="42"/>
        <v>0.16251223353483302</v>
      </c>
      <c r="AC149" s="6">
        <f t="shared" si="43"/>
        <v>2.3216666666666668</v>
      </c>
    </row>
    <row r="150" spans="1:29" x14ac:dyDescent="0.2">
      <c r="A150">
        <v>1983.1</v>
      </c>
      <c r="B150" s="2">
        <v>5253.8450000000003</v>
      </c>
      <c r="C150" s="2">
        <v>64.388000000000005</v>
      </c>
      <c r="D150" s="2">
        <v>2194.1</v>
      </c>
      <c r="E150" s="2">
        <v>531.70000000000005</v>
      </c>
      <c r="F150" s="2">
        <v>99143</v>
      </c>
      <c r="G150" s="2">
        <f t="shared" si="30"/>
        <v>83.486732966746104</v>
      </c>
      <c r="H150" s="2">
        <v>8.6533333333333324</v>
      </c>
      <c r="I150" s="2">
        <v>173505</v>
      </c>
      <c r="J150" s="2">
        <f t="shared" si="31"/>
        <v>0.89887630747764091</v>
      </c>
      <c r="K150" s="2">
        <v>101.1</v>
      </c>
      <c r="L150" s="2">
        <v>65.900000000000006</v>
      </c>
      <c r="N150" s="3">
        <f t="shared" si="32"/>
        <v>363.52097812933096</v>
      </c>
      <c r="O150" s="3">
        <f t="shared" si="33"/>
        <v>221.77619831556984</v>
      </c>
      <c r="P150" s="3">
        <f t="shared" si="34"/>
        <v>867.33253114673823</v>
      </c>
      <c r="Q150" s="3">
        <f t="shared" si="35"/>
        <v>454.22375156349204</v>
      </c>
      <c r="R150" s="3">
        <f t="shared" si="38"/>
        <v>0.81871163969093885</v>
      </c>
      <c r="S150" s="3">
        <f t="shared" si="36"/>
        <v>2.3211161164478442</v>
      </c>
      <c r="T150" s="3">
        <f t="shared" si="37"/>
        <v>2.1633333333333331</v>
      </c>
      <c r="V150">
        <f t="shared" si="44"/>
        <v>143</v>
      </c>
      <c r="W150">
        <f t="shared" si="39"/>
        <v>0.75164360263227081</v>
      </c>
      <c r="X150">
        <f t="shared" si="39"/>
        <v>0.60443600553145416</v>
      </c>
      <c r="Y150">
        <f t="shared" si="39"/>
        <v>0.9608551685829525</v>
      </c>
      <c r="Z150">
        <f t="shared" si="40"/>
        <v>-7.6933155908862432</v>
      </c>
      <c r="AA150">
        <f t="shared" si="41"/>
        <v>0.81871163969093885</v>
      </c>
      <c r="AB150">
        <f t="shared" si="42"/>
        <v>0.24918561789448468</v>
      </c>
      <c r="AC150" s="6">
        <f t="shared" si="43"/>
        <v>2.1633333333333331</v>
      </c>
    </row>
    <row r="151" spans="1:29" x14ac:dyDescent="0.2">
      <c r="A151">
        <v>1983.2</v>
      </c>
      <c r="B151" s="2">
        <v>5372.3360000000002</v>
      </c>
      <c r="C151" s="2">
        <v>64.852999999999994</v>
      </c>
      <c r="D151" s="2">
        <v>2258.1999999999998</v>
      </c>
      <c r="E151" s="2">
        <v>549.9</v>
      </c>
      <c r="F151" s="2">
        <v>99945</v>
      </c>
      <c r="G151" s="2">
        <f t="shared" si="30"/>
        <v>84.16208432629071</v>
      </c>
      <c r="H151" s="2">
        <v>8.8033333333333328</v>
      </c>
      <c r="I151" s="2">
        <v>173957.33333333334</v>
      </c>
      <c r="J151" s="2">
        <f t="shared" si="31"/>
        <v>0.90121970805062579</v>
      </c>
      <c r="K151" s="2">
        <v>101.3</v>
      </c>
      <c r="L151" s="2">
        <v>66.400000000000006</v>
      </c>
      <c r="N151" s="3">
        <f t="shared" si="32"/>
        <v>365.42063464399394</v>
      </c>
      <c r="O151" s="3">
        <f t="shared" si="33"/>
        <v>224.16194752072863</v>
      </c>
      <c r="P151" s="3">
        <f t="shared" si="34"/>
        <v>869.30243042121469</v>
      </c>
      <c r="Q151" s="3">
        <f t="shared" si="35"/>
        <v>454.966694217108</v>
      </c>
      <c r="R151" s="3">
        <f t="shared" si="38"/>
        <v>0.71958899498687501</v>
      </c>
      <c r="S151" s="3">
        <f t="shared" si="36"/>
        <v>2.3573886188536242</v>
      </c>
      <c r="T151" s="3">
        <f t="shared" si="37"/>
        <v>2.2008333333333332</v>
      </c>
      <c r="V151">
        <f t="shared" si="44"/>
        <v>144</v>
      </c>
      <c r="W151">
        <f t="shared" si="39"/>
        <v>1.8996565146629791</v>
      </c>
      <c r="X151">
        <f t="shared" si="39"/>
        <v>2.3857492051587883</v>
      </c>
      <c r="Y151">
        <f t="shared" si="39"/>
        <v>1.969899274476461</v>
      </c>
      <c r="Z151">
        <f t="shared" si="40"/>
        <v>-6.9503729372702878</v>
      </c>
      <c r="AA151">
        <f t="shared" si="41"/>
        <v>0.71958899498687501</v>
      </c>
      <c r="AB151">
        <f t="shared" si="42"/>
        <v>3.6272502405779949E-2</v>
      </c>
      <c r="AC151" s="6">
        <f t="shared" si="43"/>
        <v>2.2008333333333332</v>
      </c>
    </row>
    <row r="152" spans="1:29" x14ac:dyDescent="0.2">
      <c r="A152">
        <v>1983.3</v>
      </c>
      <c r="B152" s="2">
        <v>5478.36</v>
      </c>
      <c r="C152" s="2">
        <v>65.516999999999996</v>
      </c>
      <c r="D152" s="2">
        <v>2328.6</v>
      </c>
      <c r="E152" s="2">
        <v>581.9</v>
      </c>
      <c r="F152" s="2">
        <v>101610.66666666667</v>
      </c>
      <c r="G152" s="2">
        <f t="shared" si="30"/>
        <v>85.564715558063099</v>
      </c>
      <c r="H152" s="2">
        <v>9.4600000000000009</v>
      </c>
      <c r="I152" s="2">
        <v>174449.33333333334</v>
      </c>
      <c r="J152" s="2">
        <f t="shared" si="31"/>
        <v>0.90376860948446913</v>
      </c>
      <c r="K152" s="2">
        <v>102</v>
      </c>
      <c r="L152" s="2">
        <v>66.8</v>
      </c>
      <c r="N152" s="3">
        <f t="shared" si="32"/>
        <v>367.18947709658988</v>
      </c>
      <c r="O152" s="3">
        <f t="shared" si="33"/>
        <v>228.51708750256074</v>
      </c>
      <c r="P152" s="3">
        <f t="shared" si="34"/>
        <v>870.9742979392571</v>
      </c>
      <c r="Q152" s="3">
        <f t="shared" si="35"/>
        <v>457.02575383547475</v>
      </c>
      <c r="R152" s="3">
        <f t="shared" si="38"/>
        <v>1.0186480656892982</v>
      </c>
      <c r="S152" s="3">
        <f t="shared" si="36"/>
        <v>1.939342959185526</v>
      </c>
      <c r="T152" s="3">
        <f t="shared" si="37"/>
        <v>2.3650000000000002</v>
      </c>
      <c r="V152">
        <f t="shared" si="44"/>
        <v>145</v>
      </c>
      <c r="W152">
        <f t="shared" si="39"/>
        <v>1.7688424525959476</v>
      </c>
      <c r="X152">
        <f t="shared" si="39"/>
        <v>4.3551399818321102</v>
      </c>
      <c r="Y152">
        <f t="shared" si="39"/>
        <v>1.6718675180424043</v>
      </c>
      <c r="Z152">
        <f t="shared" si="40"/>
        <v>-4.891313318903542</v>
      </c>
      <c r="AA152">
        <f t="shared" si="41"/>
        <v>1.0186480656892982</v>
      </c>
      <c r="AB152">
        <f t="shared" si="42"/>
        <v>-0.41804565966809815</v>
      </c>
      <c r="AC152" s="6">
        <f t="shared" si="43"/>
        <v>2.3650000000000002</v>
      </c>
    </row>
    <row r="153" spans="1:29" x14ac:dyDescent="0.2">
      <c r="A153">
        <v>1983.4</v>
      </c>
      <c r="B153" s="2">
        <v>5590.4690000000001</v>
      </c>
      <c r="C153" s="2">
        <v>66.012</v>
      </c>
      <c r="D153" s="2">
        <v>2381.3000000000002</v>
      </c>
      <c r="E153" s="2">
        <v>616.79999999999995</v>
      </c>
      <c r="F153" s="2">
        <v>102588</v>
      </c>
      <c r="G153" s="2">
        <f t="shared" si="30"/>
        <v>86.38771231042584</v>
      </c>
      <c r="H153" s="2">
        <v>9.43</v>
      </c>
      <c r="I153" s="2">
        <v>174950.33333333334</v>
      </c>
      <c r="J153" s="2">
        <f t="shared" si="31"/>
        <v>0.90636413716405362</v>
      </c>
      <c r="K153" s="2">
        <v>102</v>
      </c>
      <c r="L153" s="2">
        <v>67.5</v>
      </c>
      <c r="N153" s="3">
        <f t="shared" si="32"/>
        <v>368.38794286352794</v>
      </c>
      <c r="O153" s="3">
        <f t="shared" si="33"/>
        <v>233.30224148545011</v>
      </c>
      <c r="P153" s="3">
        <f t="shared" si="34"/>
        <v>872.71325987375633</v>
      </c>
      <c r="Q153" s="3">
        <f t="shared" si="35"/>
        <v>457.69622106495342</v>
      </c>
      <c r="R153" s="3">
        <f t="shared" si="38"/>
        <v>0.75268927305760513</v>
      </c>
      <c r="S153" s="3">
        <f t="shared" si="36"/>
        <v>2.2291054197162712</v>
      </c>
      <c r="T153" s="3">
        <f t="shared" si="37"/>
        <v>2.3574999999999999</v>
      </c>
      <c r="V153">
        <f t="shared" si="44"/>
        <v>146</v>
      </c>
      <c r="W153">
        <f t="shared" si="39"/>
        <v>1.1984657669380567</v>
      </c>
      <c r="X153">
        <f t="shared" si="39"/>
        <v>4.7851539828893692</v>
      </c>
      <c r="Y153">
        <f t="shared" si="39"/>
        <v>1.7389619344992298</v>
      </c>
      <c r="Z153">
        <f t="shared" si="40"/>
        <v>-4.2208460894248674</v>
      </c>
      <c r="AA153">
        <f t="shared" si="41"/>
        <v>0.75268927305760513</v>
      </c>
      <c r="AB153">
        <f t="shared" si="42"/>
        <v>0.28976246053074517</v>
      </c>
      <c r="AC153" s="6">
        <f t="shared" si="43"/>
        <v>2.3574999999999999</v>
      </c>
    </row>
    <row r="154" spans="1:29" x14ac:dyDescent="0.2">
      <c r="A154">
        <v>1984.1</v>
      </c>
      <c r="B154" s="2">
        <v>5699.83</v>
      </c>
      <c r="C154" s="2">
        <v>66.837000000000003</v>
      </c>
      <c r="D154" s="2">
        <v>2427.6</v>
      </c>
      <c r="E154" s="2">
        <v>636.70000000000005</v>
      </c>
      <c r="F154" s="2">
        <v>103664</v>
      </c>
      <c r="G154" s="2">
        <f t="shared" si="30"/>
        <v>87.2937946830817</v>
      </c>
      <c r="H154" s="2">
        <v>9.6866666666666656</v>
      </c>
      <c r="I154" s="2">
        <v>175678.66666666666</v>
      </c>
      <c r="J154" s="2">
        <f t="shared" si="31"/>
        <v>0.91013740927309672</v>
      </c>
      <c r="K154" s="2">
        <v>102.4</v>
      </c>
      <c r="L154" s="2">
        <v>68.400000000000006</v>
      </c>
      <c r="N154" s="3">
        <f t="shared" si="32"/>
        <v>368.65612662144713</v>
      </c>
      <c r="O154" s="3">
        <f t="shared" si="33"/>
        <v>234.82014592757517</v>
      </c>
      <c r="P154" s="3">
        <f t="shared" si="34"/>
        <v>874.23513204857454</v>
      </c>
      <c r="Q154" s="3">
        <f t="shared" si="35"/>
        <v>458.71555982287396</v>
      </c>
      <c r="R154" s="3">
        <f t="shared" si="38"/>
        <v>1.2420275735175679</v>
      </c>
      <c r="S154" s="3">
        <f t="shared" si="36"/>
        <v>2.3116005212008592</v>
      </c>
      <c r="T154" s="3">
        <f t="shared" si="37"/>
        <v>2.4216666666666664</v>
      </c>
      <c r="V154">
        <f t="shared" si="44"/>
        <v>147</v>
      </c>
      <c r="W154">
        <f t="shared" si="39"/>
        <v>0.26818375791918925</v>
      </c>
      <c r="X154">
        <f t="shared" si="39"/>
        <v>1.517904442125058</v>
      </c>
      <c r="Y154">
        <f t="shared" si="39"/>
        <v>1.5218721748182134</v>
      </c>
      <c r="Z154">
        <f t="shared" si="40"/>
        <v>-3.201507331504331</v>
      </c>
      <c r="AA154">
        <f t="shared" si="41"/>
        <v>1.2420275735175679</v>
      </c>
      <c r="AB154">
        <f t="shared" si="42"/>
        <v>8.2495101484588051E-2</v>
      </c>
      <c r="AC154" s="6">
        <f t="shared" si="43"/>
        <v>2.4216666666666664</v>
      </c>
    </row>
    <row r="155" spans="1:29" x14ac:dyDescent="0.2">
      <c r="A155">
        <v>1984.2</v>
      </c>
      <c r="B155" s="2">
        <v>5797.902</v>
      </c>
      <c r="C155" s="2">
        <v>67.414000000000001</v>
      </c>
      <c r="D155" s="2">
        <v>2486.3000000000002</v>
      </c>
      <c r="E155" s="2">
        <v>665.8</v>
      </c>
      <c r="F155" s="2">
        <v>105040</v>
      </c>
      <c r="G155" s="2">
        <f t="shared" si="30"/>
        <v>88.452502252574675</v>
      </c>
      <c r="H155" s="2">
        <v>10.556666666666667</v>
      </c>
      <c r="I155" s="2">
        <v>176125.33333333334</v>
      </c>
      <c r="J155" s="2">
        <f t="shared" si="31"/>
        <v>0.91245145258024463</v>
      </c>
      <c r="K155" s="2">
        <v>102.5</v>
      </c>
      <c r="L155" s="2">
        <v>69</v>
      </c>
      <c r="N155" s="3">
        <f t="shared" si="32"/>
        <v>369.93186266849096</v>
      </c>
      <c r="O155" s="3">
        <f t="shared" si="33"/>
        <v>238.17570112515219</v>
      </c>
      <c r="P155" s="3">
        <f t="shared" si="34"/>
        <v>875.68718045512117</v>
      </c>
      <c r="Q155" s="3">
        <f t="shared" si="35"/>
        <v>459.87787204120548</v>
      </c>
      <c r="R155" s="3">
        <f t="shared" si="38"/>
        <v>0.85958920654940485</v>
      </c>
      <c r="S155" s="3">
        <f t="shared" si="36"/>
        <v>2.3253793115268246</v>
      </c>
      <c r="T155" s="3">
        <f t="shared" si="37"/>
        <v>2.6391666666666667</v>
      </c>
      <c r="V155">
        <f t="shared" si="44"/>
        <v>148</v>
      </c>
      <c r="W155">
        <f t="shared" si="39"/>
        <v>1.2757360470438357</v>
      </c>
      <c r="X155">
        <f t="shared" si="39"/>
        <v>3.3555551975770186</v>
      </c>
      <c r="Y155">
        <f t="shared" si="39"/>
        <v>1.4520484065466235</v>
      </c>
      <c r="Z155">
        <f t="shared" si="40"/>
        <v>-2.0391951131728092</v>
      </c>
      <c r="AA155">
        <f t="shared" si="41"/>
        <v>0.85958920654940485</v>
      </c>
      <c r="AB155">
        <f t="shared" si="42"/>
        <v>1.3778790325965407E-2</v>
      </c>
      <c r="AC155" s="6">
        <f t="shared" si="43"/>
        <v>2.6391666666666667</v>
      </c>
    </row>
    <row r="156" spans="1:29" x14ac:dyDescent="0.2">
      <c r="A156">
        <v>1984.3</v>
      </c>
      <c r="B156" s="2">
        <v>5854.2510000000002</v>
      </c>
      <c r="C156" s="2">
        <v>67.953000000000003</v>
      </c>
      <c r="D156" s="2">
        <v>2524.9</v>
      </c>
      <c r="E156" s="2">
        <v>682.1</v>
      </c>
      <c r="F156" s="2">
        <v>105362.66666666667</v>
      </c>
      <c r="G156" s="2">
        <f t="shared" si="30"/>
        <v>88.724214686506159</v>
      </c>
      <c r="H156" s="2">
        <v>11.39</v>
      </c>
      <c r="I156" s="2">
        <v>176595.33333333334</v>
      </c>
      <c r="J156" s="2">
        <f t="shared" si="31"/>
        <v>0.91488637874672107</v>
      </c>
      <c r="K156" s="2">
        <v>102.2</v>
      </c>
      <c r="L156" s="2">
        <v>70</v>
      </c>
      <c r="N156" s="3">
        <f t="shared" si="32"/>
        <v>370.40958448820805</v>
      </c>
      <c r="O156" s="3">
        <f t="shared" si="33"/>
        <v>239.53153825779472</v>
      </c>
      <c r="P156" s="3">
        <f t="shared" si="34"/>
        <v>876.38787406483959</v>
      </c>
      <c r="Q156" s="3">
        <f t="shared" si="35"/>
        <v>459.62497368291019</v>
      </c>
      <c r="R156" s="3">
        <f t="shared" si="38"/>
        <v>0.79635782509495101</v>
      </c>
      <c r="S156" s="3">
        <f t="shared" si="36"/>
        <v>2.9678952316418314</v>
      </c>
      <c r="T156" s="3">
        <f t="shared" si="37"/>
        <v>2.8475000000000001</v>
      </c>
      <c r="V156">
        <f t="shared" si="44"/>
        <v>149</v>
      </c>
      <c r="W156">
        <f t="shared" si="39"/>
        <v>0.4777218197170896</v>
      </c>
      <c r="X156">
        <f t="shared" si="39"/>
        <v>1.3558371326425345</v>
      </c>
      <c r="Y156">
        <f t="shared" si="39"/>
        <v>0.70069360971842798</v>
      </c>
      <c r="Z156">
        <f t="shared" si="40"/>
        <v>-2.2920934714680925</v>
      </c>
      <c r="AA156">
        <f t="shared" si="41"/>
        <v>0.79635782509495101</v>
      </c>
      <c r="AB156">
        <f t="shared" si="42"/>
        <v>0.6425159201150068</v>
      </c>
      <c r="AC156" s="6">
        <f t="shared" si="43"/>
        <v>2.8475000000000001</v>
      </c>
    </row>
    <row r="157" spans="1:29" x14ac:dyDescent="0.2">
      <c r="A157">
        <v>1984.4</v>
      </c>
      <c r="B157" s="2">
        <v>5902.3540000000003</v>
      </c>
      <c r="C157" s="2">
        <v>68.385000000000005</v>
      </c>
      <c r="D157" s="2">
        <v>2574.3000000000002</v>
      </c>
      <c r="E157" s="2">
        <v>696.3</v>
      </c>
      <c r="F157" s="2">
        <v>105944.33333333333</v>
      </c>
      <c r="G157" s="2">
        <f t="shared" si="30"/>
        <v>89.214026873707041</v>
      </c>
      <c r="H157" s="2">
        <v>9.2666666666666675</v>
      </c>
      <c r="I157" s="2">
        <v>177132.33333333334</v>
      </c>
      <c r="J157" s="2">
        <f t="shared" si="31"/>
        <v>0.91766841140926969</v>
      </c>
      <c r="K157" s="2">
        <v>102.1</v>
      </c>
      <c r="L157" s="2">
        <v>70.5</v>
      </c>
      <c r="N157" s="3">
        <f t="shared" si="32"/>
        <v>371.40985903756757</v>
      </c>
      <c r="O157" s="3">
        <f t="shared" si="33"/>
        <v>240.65462608429917</v>
      </c>
      <c r="P157" s="3">
        <f t="shared" si="34"/>
        <v>876.90256946000909</v>
      </c>
      <c r="Q157" s="3">
        <f t="shared" si="35"/>
        <v>459.77399795810942</v>
      </c>
      <c r="R157" s="3">
        <f t="shared" si="38"/>
        <v>0.63372126005738494</v>
      </c>
      <c r="S157" s="3">
        <f t="shared" si="36"/>
        <v>3.0459207484708437</v>
      </c>
      <c r="T157" s="3">
        <f t="shared" si="37"/>
        <v>2.3166666666666669</v>
      </c>
      <c r="V157">
        <f t="shared" si="44"/>
        <v>150</v>
      </c>
      <c r="W157">
        <f t="shared" si="39"/>
        <v>1.0002745493595171</v>
      </c>
      <c r="X157">
        <f t="shared" si="39"/>
        <v>1.1230878265044453</v>
      </c>
      <c r="Y157">
        <f t="shared" si="39"/>
        <v>0.51469539516949681</v>
      </c>
      <c r="Z157">
        <f t="shared" si="40"/>
        <v>-2.1430691962688684</v>
      </c>
      <c r="AA157">
        <f t="shared" si="41"/>
        <v>0.63372126005738494</v>
      </c>
      <c r="AB157">
        <f t="shared" si="42"/>
        <v>7.8025516829012265E-2</v>
      </c>
      <c r="AC157" s="6">
        <f t="shared" si="43"/>
        <v>2.3166666666666669</v>
      </c>
    </row>
    <row r="158" spans="1:29" x14ac:dyDescent="0.2">
      <c r="A158">
        <v>1985.1</v>
      </c>
      <c r="B158" s="2">
        <v>5956.9369999999999</v>
      </c>
      <c r="C158" s="2">
        <v>69.155000000000001</v>
      </c>
      <c r="D158" s="2">
        <v>2645.7</v>
      </c>
      <c r="E158" s="2">
        <v>703.8</v>
      </c>
      <c r="F158" s="2">
        <v>106615.33333333333</v>
      </c>
      <c r="G158" s="2">
        <f t="shared" si="30"/>
        <v>89.779065230632767</v>
      </c>
      <c r="H158" s="2">
        <v>8.4766666666666666</v>
      </c>
      <c r="I158" s="2">
        <v>177522.33333333334</v>
      </c>
      <c r="J158" s="2">
        <f t="shared" si="31"/>
        <v>0.919688882058048</v>
      </c>
      <c r="K158" s="2">
        <v>102.1</v>
      </c>
      <c r="L158" s="2">
        <v>71.400000000000006</v>
      </c>
      <c r="N158" s="3">
        <f t="shared" si="32"/>
        <v>372.8060435293595</v>
      </c>
      <c r="O158" s="3">
        <f t="shared" si="33"/>
        <v>240.38637006188347</v>
      </c>
      <c r="P158" s="3">
        <f t="shared" si="34"/>
        <v>877.60315395876012</v>
      </c>
      <c r="Q158" s="3">
        <f t="shared" si="35"/>
        <v>460.18541985128189</v>
      </c>
      <c r="R158" s="3">
        <f t="shared" si="38"/>
        <v>1.1196859743157539</v>
      </c>
      <c r="S158" s="3">
        <f t="shared" si="36"/>
        <v>3.1947507268867623</v>
      </c>
      <c r="T158" s="3">
        <f t="shared" si="37"/>
        <v>2.1191666666666666</v>
      </c>
      <c r="V158">
        <f t="shared" si="44"/>
        <v>151</v>
      </c>
      <c r="W158">
        <f t="shared" si="39"/>
        <v>1.3961844917919279</v>
      </c>
      <c r="X158">
        <f t="shared" si="39"/>
        <v>-0.26825602241569868</v>
      </c>
      <c r="Y158">
        <f t="shared" si="39"/>
        <v>0.70058449875102724</v>
      </c>
      <c r="Z158">
        <f t="shared" si="40"/>
        <v>-1.7316473030963948</v>
      </c>
      <c r="AA158">
        <f t="shared" si="41"/>
        <v>1.1196859743157539</v>
      </c>
      <c r="AB158">
        <f t="shared" si="42"/>
        <v>0.14882997841591861</v>
      </c>
      <c r="AC158" s="6">
        <f t="shared" si="43"/>
        <v>2.1191666666666666</v>
      </c>
    </row>
    <row r="159" spans="1:29" x14ac:dyDescent="0.2">
      <c r="A159">
        <v>1985.2</v>
      </c>
      <c r="B159" s="2">
        <v>6007.7889999999998</v>
      </c>
      <c r="C159" s="2">
        <v>69.55</v>
      </c>
      <c r="D159" s="2">
        <v>2690.1</v>
      </c>
      <c r="E159" s="2">
        <v>713.7</v>
      </c>
      <c r="F159" s="2">
        <v>106791</v>
      </c>
      <c r="G159" s="2">
        <f t="shared" si="30"/>
        <v>89.926991318114062</v>
      </c>
      <c r="H159" s="2">
        <v>7.9233333333333329</v>
      </c>
      <c r="I159" s="2">
        <v>177946.33333333334</v>
      </c>
      <c r="J159" s="2">
        <f t="shared" si="31"/>
        <v>0.92188549630184791</v>
      </c>
      <c r="K159" s="2">
        <v>102.2</v>
      </c>
      <c r="L159" s="2">
        <v>72</v>
      </c>
      <c r="N159" s="3">
        <f t="shared" si="32"/>
        <v>373.66219819564765</v>
      </c>
      <c r="O159" s="3">
        <f t="shared" si="33"/>
        <v>240.97510413073863</v>
      </c>
      <c r="P159" s="3">
        <f t="shared" si="34"/>
        <v>878.21463266868579</v>
      </c>
      <c r="Q159" s="3">
        <f t="shared" si="35"/>
        <v>460.20938790281696</v>
      </c>
      <c r="R159" s="3">
        <f t="shared" si="38"/>
        <v>0.56955562927800685</v>
      </c>
      <c r="S159" s="3">
        <f t="shared" si="36"/>
        <v>3.4620200646603454</v>
      </c>
      <c r="T159" s="3">
        <f t="shared" si="37"/>
        <v>1.9808333333333332</v>
      </c>
      <c r="V159">
        <f t="shared" si="44"/>
        <v>152</v>
      </c>
      <c r="W159">
        <f t="shared" si="39"/>
        <v>0.85615466628814829</v>
      </c>
      <c r="X159">
        <f t="shared" si="39"/>
        <v>0.58873406885516033</v>
      </c>
      <c r="Y159">
        <f t="shared" si="39"/>
        <v>0.61147870992567732</v>
      </c>
      <c r="Z159">
        <f t="shared" si="40"/>
        <v>-1.7076792515613306</v>
      </c>
      <c r="AA159">
        <f t="shared" si="41"/>
        <v>0.56955562927800685</v>
      </c>
      <c r="AB159">
        <f t="shared" si="42"/>
        <v>0.26726933777358308</v>
      </c>
      <c r="AC159" s="6">
        <f t="shared" si="43"/>
        <v>1.9808333333333332</v>
      </c>
    </row>
    <row r="160" spans="1:29" x14ac:dyDescent="0.2">
      <c r="A160">
        <v>1985.3</v>
      </c>
      <c r="B160" s="2">
        <v>6101.7370000000001</v>
      </c>
      <c r="C160" s="2">
        <v>69.837999999999994</v>
      </c>
      <c r="D160" s="2">
        <v>2758.7</v>
      </c>
      <c r="E160" s="2">
        <v>710.9</v>
      </c>
      <c r="F160" s="2">
        <v>107186.33333333333</v>
      </c>
      <c r="G160" s="2">
        <f t="shared" si="30"/>
        <v>90.259895188612774</v>
      </c>
      <c r="H160" s="2">
        <v>7.9</v>
      </c>
      <c r="I160" s="2">
        <v>178413.33333333334</v>
      </c>
      <c r="J160" s="2">
        <f t="shared" si="31"/>
        <v>0.92430488038641068</v>
      </c>
      <c r="K160" s="2">
        <v>102</v>
      </c>
      <c r="L160" s="2">
        <v>73</v>
      </c>
      <c r="N160" s="3">
        <f t="shared" si="32"/>
        <v>375.50498636554596</v>
      </c>
      <c r="O160" s="3">
        <f t="shared" si="33"/>
        <v>239.90668033346259</v>
      </c>
      <c r="P160" s="3">
        <f t="shared" si="34"/>
        <v>879.50420683611947</v>
      </c>
      <c r="Q160" s="3">
        <f t="shared" si="35"/>
        <v>460.12091651142015</v>
      </c>
      <c r="R160" s="3">
        <f t="shared" si="38"/>
        <v>0.41323558675445682</v>
      </c>
      <c r="S160" s="3">
        <f t="shared" si="36"/>
        <v>4.4281166911394871</v>
      </c>
      <c r="T160" s="3">
        <f t="shared" si="37"/>
        <v>1.9750000000000001</v>
      </c>
      <c r="V160">
        <f t="shared" si="44"/>
        <v>153</v>
      </c>
      <c r="W160">
        <f t="shared" si="39"/>
        <v>1.8427881698983128</v>
      </c>
      <c r="X160">
        <f t="shared" si="39"/>
        <v>-1.06842379727604</v>
      </c>
      <c r="Y160">
        <f t="shared" si="39"/>
        <v>1.2895741674336705</v>
      </c>
      <c r="Z160">
        <f t="shared" si="40"/>
        <v>-1.7961506429581391</v>
      </c>
      <c r="AA160">
        <f t="shared" si="41"/>
        <v>0.41323558675445682</v>
      </c>
      <c r="AB160">
        <f t="shared" si="42"/>
        <v>0.96609662647914174</v>
      </c>
      <c r="AC160" s="6">
        <f t="shared" si="43"/>
        <v>1.9750000000000001</v>
      </c>
    </row>
    <row r="161" spans="1:29" x14ac:dyDescent="0.2">
      <c r="A161">
        <v>1985.4</v>
      </c>
      <c r="B161" s="2">
        <v>6148.5640000000003</v>
      </c>
      <c r="C161" s="2">
        <v>70.289000000000001</v>
      </c>
      <c r="D161" s="2">
        <v>2786.7</v>
      </c>
      <c r="E161" s="2">
        <v>729.1</v>
      </c>
      <c r="F161" s="2">
        <v>108023.33333333333</v>
      </c>
      <c r="G161" s="2">
        <f t="shared" si="30"/>
        <v>90.964719487788372</v>
      </c>
      <c r="H161" s="2">
        <v>8.1033333333333335</v>
      </c>
      <c r="I161" s="2">
        <v>178940.66666666666</v>
      </c>
      <c r="J161" s="2">
        <f t="shared" si="31"/>
        <v>0.92703683300723738</v>
      </c>
      <c r="K161" s="2">
        <v>101.8</v>
      </c>
      <c r="L161" s="2">
        <v>74.2</v>
      </c>
      <c r="N161" s="3">
        <f t="shared" si="32"/>
        <v>375.57600453985106</v>
      </c>
      <c r="O161" s="3">
        <f t="shared" si="33"/>
        <v>241.49575631493104</v>
      </c>
      <c r="P161" s="3">
        <f t="shared" si="34"/>
        <v>879.97358182499318</v>
      </c>
      <c r="Q161" s="3">
        <f t="shared" si="35"/>
        <v>460.40736321832628</v>
      </c>
      <c r="R161" s="3">
        <f t="shared" si="38"/>
        <v>0.64370400748261503</v>
      </c>
      <c r="S161" s="3">
        <f t="shared" si="36"/>
        <v>5.4148835861512552</v>
      </c>
      <c r="T161" s="3">
        <f t="shared" si="37"/>
        <v>2.0258333333333334</v>
      </c>
      <c r="V161">
        <f t="shared" si="44"/>
        <v>154</v>
      </c>
      <c r="W161">
        <f t="shared" si="39"/>
        <v>7.1018174305095272E-2</v>
      </c>
      <c r="X161">
        <f t="shared" si="39"/>
        <v>1.5890759814684543</v>
      </c>
      <c r="Y161">
        <f t="shared" si="39"/>
        <v>0.46937498887371021</v>
      </c>
      <c r="Z161">
        <f t="shared" si="40"/>
        <v>-1.5097039360520057</v>
      </c>
      <c r="AA161">
        <f t="shared" si="41"/>
        <v>0.64370400748261503</v>
      </c>
      <c r="AB161">
        <f t="shared" si="42"/>
        <v>0.98676689501176806</v>
      </c>
      <c r="AC161" s="6">
        <f t="shared" si="43"/>
        <v>2.0258333333333334</v>
      </c>
    </row>
    <row r="162" spans="1:29" x14ac:dyDescent="0.2">
      <c r="A162">
        <v>1986.1</v>
      </c>
      <c r="B162" s="2">
        <v>6207.3680000000004</v>
      </c>
      <c r="C162" s="2">
        <v>70.652000000000001</v>
      </c>
      <c r="D162" s="2">
        <v>2830.3</v>
      </c>
      <c r="E162" s="2">
        <v>733.5</v>
      </c>
      <c r="F162" s="2">
        <v>108734.66666666667</v>
      </c>
      <c r="G162" s="2">
        <f t="shared" si="30"/>
        <v>91.563721898955535</v>
      </c>
      <c r="H162" s="2">
        <v>7.8266666666666671</v>
      </c>
      <c r="I162" s="2">
        <v>179825.33333333334</v>
      </c>
      <c r="J162" s="2">
        <f t="shared" si="31"/>
        <v>0.93162002027378243</v>
      </c>
      <c r="K162" s="2">
        <v>101.6</v>
      </c>
      <c r="L162" s="2">
        <v>75.2</v>
      </c>
      <c r="N162" s="3">
        <f t="shared" si="32"/>
        <v>376.12018257920175</v>
      </c>
      <c r="O162" s="3">
        <f t="shared" si="33"/>
        <v>241.08914312889848</v>
      </c>
      <c r="P162" s="3">
        <f t="shared" si="34"/>
        <v>880.43225035560977</v>
      </c>
      <c r="Q162" s="3">
        <f t="shared" si="35"/>
        <v>460.37387442493065</v>
      </c>
      <c r="R162" s="3">
        <f t="shared" si="38"/>
        <v>0.51511029813751108</v>
      </c>
      <c r="S162" s="3">
        <f t="shared" si="36"/>
        <v>6.2384813662597081</v>
      </c>
      <c r="T162" s="3">
        <f t="shared" si="37"/>
        <v>1.9566666666666668</v>
      </c>
      <c r="V162">
        <f t="shared" si="44"/>
        <v>155</v>
      </c>
      <c r="W162">
        <f t="shared" si="39"/>
        <v>0.54417803935069742</v>
      </c>
      <c r="X162">
        <f t="shared" si="39"/>
        <v>-0.40661318603255836</v>
      </c>
      <c r="Y162">
        <f t="shared" si="39"/>
        <v>0.45866853061659185</v>
      </c>
      <c r="Z162">
        <f t="shared" si="40"/>
        <v>-1.5431927294476395</v>
      </c>
      <c r="AA162">
        <f t="shared" si="41"/>
        <v>0.51511029813751108</v>
      </c>
      <c r="AB162">
        <f t="shared" si="42"/>
        <v>0.82359778010845286</v>
      </c>
      <c r="AC162" s="6">
        <f t="shared" si="43"/>
        <v>1.9566666666666668</v>
      </c>
    </row>
    <row r="163" spans="1:29" x14ac:dyDescent="0.2">
      <c r="A163">
        <v>1986.2</v>
      </c>
      <c r="B163" s="2">
        <v>6232.0079999999998</v>
      </c>
      <c r="C163" s="2">
        <v>71.015000000000001</v>
      </c>
      <c r="D163" s="2">
        <v>2862</v>
      </c>
      <c r="E163" s="2">
        <v>737.3</v>
      </c>
      <c r="F163" s="2">
        <v>109205.66666666667</v>
      </c>
      <c r="G163" s="2">
        <f t="shared" si="30"/>
        <v>91.960343457989836</v>
      </c>
      <c r="H163" s="2">
        <v>6.92</v>
      </c>
      <c r="I163" s="2">
        <v>180320.66666666666</v>
      </c>
      <c r="J163" s="2">
        <f t="shared" si="31"/>
        <v>0.93418619068752984</v>
      </c>
      <c r="K163" s="2">
        <v>101</v>
      </c>
      <c r="L163" s="2">
        <v>75.900000000000006</v>
      </c>
      <c r="N163" s="3">
        <f t="shared" si="32"/>
        <v>376.44643507725101</v>
      </c>
      <c r="O163" s="3">
        <f t="shared" si="33"/>
        <v>240.81832556517188</v>
      </c>
      <c r="P163" s="3">
        <f t="shared" si="34"/>
        <v>880.55333842360119</v>
      </c>
      <c r="Q163" s="3">
        <f t="shared" si="35"/>
        <v>459.93872785932524</v>
      </c>
      <c r="R163" s="3">
        <f t="shared" si="38"/>
        <v>0.51247050398934846</v>
      </c>
      <c r="S163" s="3">
        <f t="shared" si="36"/>
        <v>6.6525562068493027</v>
      </c>
      <c r="T163" s="3">
        <f t="shared" si="37"/>
        <v>1.73</v>
      </c>
      <c r="V163">
        <f t="shared" si="44"/>
        <v>156</v>
      </c>
      <c r="W163">
        <f t="shared" si="39"/>
        <v>0.32625249804925716</v>
      </c>
      <c r="X163">
        <f t="shared" si="39"/>
        <v>-0.27081756372660948</v>
      </c>
      <c r="Y163">
        <f t="shared" si="39"/>
        <v>0.12108806799142258</v>
      </c>
      <c r="Z163">
        <f t="shared" si="40"/>
        <v>-1.978339295053047</v>
      </c>
      <c r="AA163">
        <f t="shared" si="41"/>
        <v>0.51247050398934846</v>
      </c>
      <c r="AB163">
        <f t="shared" si="42"/>
        <v>0.41407484058959465</v>
      </c>
      <c r="AC163" s="6">
        <f t="shared" si="43"/>
        <v>1.73</v>
      </c>
    </row>
    <row r="164" spans="1:29" x14ac:dyDescent="0.2">
      <c r="A164">
        <v>1986.3</v>
      </c>
      <c r="B164" s="2">
        <v>6291.6949999999997</v>
      </c>
      <c r="C164" s="2">
        <v>71.426000000000002</v>
      </c>
      <c r="D164" s="2">
        <v>2933.5</v>
      </c>
      <c r="E164" s="2">
        <v>739.5</v>
      </c>
      <c r="F164" s="2">
        <v>109970</v>
      </c>
      <c r="G164" s="2">
        <f t="shared" si="30"/>
        <v>92.603976320598207</v>
      </c>
      <c r="H164" s="2">
        <v>6.206666666666667</v>
      </c>
      <c r="I164" s="2">
        <v>180835.66666666666</v>
      </c>
      <c r="J164" s="2">
        <f t="shared" si="31"/>
        <v>0.93685424808271145</v>
      </c>
      <c r="K164" s="2">
        <v>100.8</v>
      </c>
      <c r="L164" s="2">
        <v>76.599999999999994</v>
      </c>
      <c r="N164" s="3">
        <f t="shared" si="32"/>
        <v>378.05171401628496</v>
      </c>
      <c r="O164" s="3">
        <f t="shared" si="33"/>
        <v>240.2539893947789</v>
      </c>
      <c r="P164" s="3">
        <f t="shared" si="34"/>
        <v>881.22133492660305</v>
      </c>
      <c r="Q164" s="3">
        <f t="shared" si="35"/>
        <v>460.15278117223721</v>
      </c>
      <c r="R164" s="3">
        <f t="shared" si="38"/>
        <v>0.57708263857723097</v>
      </c>
      <c r="S164" s="3">
        <f t="shared" si="36"/>
        <v>6.9935128027682714</v>
      </c>
      <c r="T164" s="3">
        <f t="shared" si="37"/>
        <v>1.5516666666666667</v>
      </c>
      <c r="V164">
        <f t="shared" si="44"/>
        <v>157</v>
      </c>
      <c r="W164">
        <f t="shared" si="39"/>
        <v>1.6052789390339512</v>
      </c>
      <c r="X164">
        <f t="shared" si="39"/>
        <v>-0.56433617039297701</v>
      </c>
      <c r="Y164">
        <f t="shared" si="39"/>
        <v>0.66799650300185931</v>
      </c>
      <c r="Z164">
        <f t="shared" si="40"/>
        <v>-1.7642859821410752</v>
      </c>
      <c r="AA164">
        <f t="shared" si="41"/>
        <v>0.57708263857723097</v>
      </c>
      <c r="AB164">
        <f t="shared" si="42"/>
        <v>0.34095659591896865</v>
      </c>
      <c r="AC164" s="6">
        <f t="shared" si="43"/>
        <v>1.5516666666666667</v>
      </c>
    </row>
    <row r="165" spans="1:29" x14ac:dyDescent="0.2">
      <c r="A165">
        <v>1986.4</v>
      </c>
      <c r="B165" s="2">
        <v>6323.4040000000005</v>
      </c>
      <c r="C165" s="2">
        <v>71.893000000000001</v>
      </c>
      <c r="D165" s="2">
        <v>2973.2</v>
      </c>
      <c r="E165" s="2">
        <v>749.5</v>
      </c>
      <c r="F165" s="2">
        <v>110492</v>
      </c>
      <c r="G165" s="2">
        <f t="shared" si="30"/>
        <v>93.043544163094822</v>
      </c>
      <c r="H165" s="2">
        <v>6.2666666666666666</v>
      </c>
      <c r="I165" s="2">
        <v>181365.33333333334</v>
      </c>
      <c r="J165" s="2">
        <f t="shared" si="31"/>
        <v>0.93959828898947106</v>
      </c>
      <c r="K165" s="2">
        <v>100.9</v>
      </c>
      <c r="L165" s="2">
        <v>77.900000000000006</v>
      </c>
      <c r="N165" s="3">
        <f t="shared" si="32"/>
        <v>378.45180375024682</v>
      </c>
      <c r="O165" s="3">
        <f t="shared" si="33"/>
        <v>240.65302621939821</v>
      </c>
      <c r="P165" s="3">
        <f t="shared" si="34"/>
        <v>881.43157969367292</v>
      </c>
      <c r="Q165" s="3">
        <f t="shared" si="35"/>
        <v>460.43301889508103</v>
      </c>
      <c r="R165" s="3">
        <f t="shared" si="38"/>
        <v>0.65169538277043415</v>
      </c>
      <c r="S165" s="3">
        <f t="shared" si="36"/>
        <v>8.0247050330134986</v>
      </c>
      <c r="T165" s="3">
        <f t="shared" si="37"/>
        <v>1.5666666666666667</v>
      </c>
      <c r="V165">
        <f t="shared" si="44"/>
        <v>158</v>
      </c>
      <c r="W165">
        <f t="shared" si="39"/>
        <v>0.4000897339618632</v>
      </c>
      <c r="X165">
        <f t="shared" si="39"/>
        <v>0.39903682461931567</v>
      </c>
      <c r="Y165">
        <f t="shared" si="39"/>
        <v>0.21024476706986661</v>
      </c>
      <c r="Z165">
        <f t="shared" si="40"/>
        <v>-1.4840482592972535</v>
      </c>
      <c r="AA165">
        <f t="shared" si="41"/>
        <v>0.65169538277043415</v>
      </c>
      <c r="AB165">
        <f t="shared" si="42"/>
        <v>1.0311922302452272</v>
      </c>
      <c r="AC165" s="6">
        <f t="shared" si="43"/>
        <v>1.5666666666666667</v>
      </c>
    </row>
    <row r="166" spans="1:29" x14ac:dyDescent="0.2">
      <c r="A166">
        <v>1987.1</v>
      </c>
      <c r="B166" s="2">
        <v>6365.0280000000002</v>
      </c>
      <c r="C166" s="2">
        <v>72.486999999999995</v>
      </c>
      <c r="D166" s="2">
        <v>3008</v>
      </c>
      <c r="E166" s="2">
        <v>737</v>
      </c>
      <c r="F166" s="2">
        <v>111206</v>
      </c>
      <c r="G166" s="2">
        <f t="shared" si="30"/>
        <v>93.6447921315672</v>
      </c>
      <c r="H166" s="2">
        <v>6.22</v>
      </c>
      <c r="I166" s="2">
        <v>182001.33333333334</v>
      </c>
      <c r="J166" s="2">
        <f t="shared" si="31"/>
        <v>0.94289321035517115</v>
      </c>
      <c r="K166" s="2">
        <v>101.5</v>
      </c>
      <c r="L166" s="2">
        <v>78</v>
      </c>
      <c r="N166" s="3">
        <f t="shared" si="32"/>
        <v>378.44256969795276</v>
      </c>
      <c r="O166" s="3">
        <f t="shared" si="33"/>
        <v>237.79829040991336</v>
      </c>
      <c r="P166" s="3">
        <f t="shared" si="34"/>
        <v>881.73761573867523</v>
      </c>
      <c r="Q166" s="3">
        <f t="shared" si="35"/>
        <v>461.31996772712779</v>
      </c>
      <c r="R166" s="3">
        <f t="shared" si="38"/>
        <v>0.82283328912122755</v>
      </c>
      <c r="S166" s="3">
        <f t="shared" si="36"/>
        <v>7.3301591251812184</v>
      </c>
      <c r="T166" s="3">
        <f t="shared" si="37"/>
        <v>1.5549999999999999</v>
      </c>
      <c r="V166">
        <f t="shared" si="44"/>
        <v>159</v>
      </c>
      <c r="W166">
        <f t="shared" si="39"/>
        <v>-9.234052294061712E-3</v>
      </c>
      <c r="X166">
        <f t="shared" si="39"/>
        <v>-2.8547358094848505</v>
      </c>
      <c r="Y166">
        <f t="shared" si="39"/>
        <v>0.3060360450023154</v>
      </c>
      <c r="Z166">
        <f t="shared" si="40"/>
        <v>-0.59709942725049814</v>
      </c>
      <c r="AA166">
        <f t="shared" si="41"/>
        <v>0.82283328912122755</v>
      </c>
      <c r="AB166">
        <f t="shared" si="42"/>
        <v>-0.69454590783228021</v>
      </c>
      <c r="AC166" s="6">
        <f t="shared" si="43"/>
        <v>1.5549999999999999</v>
      </c>
    </row>
    <row r="167" spans="1:29" x14ac:dyDescent="0.2">
      <c r="A167">
        <v>1987.2</v>
      </c>
      <c r="B167" s="2">
        <v>6435.0230000000001</v>
      </c>
      <c r="C167" s="2">
        <v>72.882000000000005</v>
      </c>
      <c r="D167" s="2">
        <v>3075.3</v>
      </c>
      <c r="E167" s="2">
        <v>751.1</v>
      </c>
      <c r="F167" s="2">
        <v>112158</v>
      </c>
      <c r="G167" s="2">
        <f t="shared" si="30"/>
        <v>94.446456089530372</v>
      </c>
      <c r="H167" s="2">
        <v>6.65</v>
      </c>
      <c r="I167" s="2">
        <v>182526.66666666666</v>
      </c>
      <c r="J167" s="2">
        <f t="shared" si="31"/>
        <v>0.94561480158805533</v>
      </c>
      <c r="K167" s="2">
        <v>101.3</v>
      </c>
      <c r="L167" s="2">
        <v>78.7</v>
      </c>
      <c r="N167" s="3">
        <f t="shared" si="32"/>
        <v>379.82360208464331</v>
      </c>
      <c r="O167" s="3">
        <f t="shared" si="33"/>
        <v>238.86170830809331</v>
      </c>
      <c r="P167" s="3">
        <f t="shared" si="34"/>
        <v>882.54306735625698</v>
      </c>
      <c r="Q167" s="3">
        <f t="shared" si="35"/>
        <v>461.68692762945068</v>
      </c>
      <c r="R167" s="3">
        <f t="shared" si="38"/>
        <v>0.54344595084092617</v>
      </c>
      <c r="S167" s="3">
        <f t="shared" si="36"/>
        <v>7.6801460477168764</v>
      </c>
      <c r="T167" s="3">
        <f t="shared" si="37"/>
        <v>1.6625000000000001</v>
      </c>
      <c r="V167">
        <f t="shared" si="44"/>
        <v>160</v>
      </c>
      <c r="W167">
        <f t="shared" si="39"/>
        <v>1.3810323866905492</v>
      </c>
      <c r="X167">
        <f t="shared" si="39"/>
        <v>1.0634178981799494</v>
      </c>
      <c r="Y167">
        <f t="shared" si="39"/>
        <v>0.80545161758175254</v>
      </c>
      <c r="Z167">
        <f t="shared" si="40"/>
        <v>-0.23013952492760836</v>
      </c>
      <c r="AA167">
        <f t="shared" si="41"/>
        <v>0.54344595084092617</v>
      </c>
      <c r="AB167">
        <f t="shared" si="42"/>
        <v>0.349986922535658</v>
      </c>
      <c r="AC167" s="6">
        <f t="shared" si="43"/>
        <v>1.6625000000000001</v>
      </c>
    </row>
    <row r="168" spans="1:29" x14ac:dyDescent="0.2">
      <c r="A168">
        <v>1987.3</v>
      </c>
      <c r="B168" s="2">
        <v>6493.4340000000002</v>
      </c>
      <c r="C168" s="2">
        <v>73.424999999999997</v>
      </c>
      <c r="D168" s="2">
        <v>3141.6</v>
      </c>
      <c r="E168" s="2">
        <v>768.5</v>
      </c>
      <c r="F168" s="2">
        <v>112866.66666666667</v>
      </c>
      <c r="G168" s="2">
        <f t="shared" si="30"/>
        <v>95.043212943392305</v>
      </c>
      <c r="H168" s="2">
        <v>6.8433333333333337</v>
      </c>
      <c r="I168" s="2">
        <v>183016</v>
      </c>
      <c r="J168" s="2">
        <f t="shared" si="31"/>
        <v>0.94814988783797549</v>
      </c>
      <c r="K168" s="2">
        <v>101.3</v>
      </c>
      <c r="L168" s="2">
        <v>79.5</v>
      </c>
      <c r="N168" s="3">
        <f t="shared" si="32"/>
        <v>380.94657058704968</v>
      </c>
      <c r="O168" s="3">
        <f t="shared" si="33"/>
        <v>240.14187655853476</v>
      </c>
      <c r="P168" s="3">
        <f t="shared" si="34"/>
        <v>883.17894711797078</v>
      </c>
      <c r="Q168" s="3">
        <f t="shared" si="35"/>
        <v>462.04905662234069</v>
      </c>
      <c r="R168" s="3">
        <f t="shared" si="38"/>
        <v>0.74227821384944548</v>
      </c>
      <c r="S168" s="3">
        <f t="shared" si="36"/>
        <v>7.9492544575602535</v>
      </c>
      <c r="T168" s="3">
        <f t="shared" si="37"/>
        <v>1.7108333333333334</v>
      </c>
      <c r="V168">
        <f t="shared" si="44"/>
        <v>161</v>
      </c>
      <c r="W168">
        <f t="shared" si="39"/>
        <v>1.1229685024063656</v>
      </c>
      <c r="X168">
        <f t="shared" si="39"/>
        <v>1.2801682504414487</v>
      </c>
      <c r="Y168">
        <f t="shared" si="39"/>
        <v>0.63587976171379523</v>
      </c>
      <c r="Z168">
        <f t="shared" si="40"/>
        <v>0.13198946796239852</v>
      </c>
      <c r="AA168">
        <f t="shared" si="41"/>
        <v>0.74227821384944548</v>
      </c>
      <c r="AB168">
        <f t="shared" si="42"/>
        <v>0.26910840984337714</v>
      </c>
      <c r="AC168" s="6">
        <f t="shared" si="43"/>
        <v>1.7108333333333334</v>
      </c>
    </row>
    <row r="169" spans="1:29" x14ac:dyDescent="0.2">
      <c r="A169">
        <v>1987.4</v>
      </c>
      <c r="B169" s="2">
        <v>6606.82</v>
      </c>
      <c r="C169" s="2">
        <v>73.957999999999998</v>
      </c>
      <c r="D169" s="2">
        <v>3176</v>
      </c>
      <c r="E169" s="2">
        <v>774.7</v>
      </c>
      <c r="F169" s="2">
        <v>113526.66666666667</v>
      </c>
      <c r="G169" s="2">
        <f t="shared" si="30"/>
        <v>95.598988376434008</v>
      </c>
      <c r="H169" s="2">
        <v>6.916666666666667</v>
      </c>
      <c r="I169" s="2">
        <v>183467</v>
      </c>
      <c r="J169" s="2">
        <f t="shared" si="31"/>
        <v>0.95048638081899861</v>
      </c>
      <c r="K169" s="2">
        <v>101.5</v>
      </c>
      <c r="L169" s="2">
        <v>80.5</v>
      </c>
      <c r="N169" s="3">
        <f t="shared" si="32"/>
        <v>381.06619034528904</v>
      </c>
      <c r="O169" s="3">
        <f t="shared" si="33"/>
        <v>239.9759938723721</v>
      </c>
      <c r="P169" s="3">
        <f t="shared" si="34"/>
        <v>884.66391734214903</v>
      </c>
      <c r="Q169" s="3">
        <f t="shared" si="35"/>
        <v>462.58322962536784</v>
      </c>
      <c r="R169" s="3">
        <f t="shared" si="38"/>
        <v>0.72328874244762531</v>
      </c>
      <c r="S169" s="3">
        <f t="shared" si="36"/>
        <v>8.4759819915357379</v>
      </c>
      <c r="T169" s="3">
        <f t="shared" si="37"/>
        <v>1.7291666666666667</v>
      </c>
      <c r="V169">
        <f t="shared" si="44"/>
        <v>162</v>
      </c>
      <c r="W169">
        <f t="shared" si="39"/>
        <v>0.11961975823936655</v>
      </c>
      <c r="X169">
        <f t="shared" si="39"/>
        <v>-0.16588268616266078</v>
      </c>
      <c r="Y169">
        <f t="shared" si="39"/>
        <v>1.4849702241782552</v>
      </c>
      <c r="Z169">
        <f t="shared" si="40"/>
        <v>0.66616247098954773</v>
      </c>
      <c r="AA169">
        <f t="shared" si="41"/>
        <v>0.72328874244762531</v>
      </c>
      <c r="AB169">
        <f t="shared" si="42"/>
        <v>0.52672753397548444</v>
      </c>
      <c r="AC169" s="6">
        <f t="shared" si="43"/>
        <v>1.7291666666666667</v>
      </c>
    </row>
    <row r="170" spans="1:29" x14ac:dyDescent="0.2">
      <c r="A170">
        <v>1988.1</v>
      </c>
      <c r="B170" s="2">
        <v>6639.1180000000004</v>
      </c>
      <c r="C170" s="2">
        <v>74.587000000000003</v>
      </c>
      <c r="D170" s="2">
        <v>3256.8</v>
      </c>
      <c r="E170" s="2">
        <v>780.6</v>
      </c>
      <c r="F170" s="2">
        <v>114093.33333333333</v>
      </c>
      <c r="G170" s="2">
        <f t="shared" si="30"/>
        <v>96.076169303793023</v>
      </c>
      <c r="H170" s="2">
        <v>6.663333333333334</v>
      </c>
      <c r="I170" s="2">
        <v>183967.33333333334</v>
      </c>
      <c r="J170" s="2">
        <f t="shared" si="31"/>
        <v>0.95307845470260222</v>
      </c>
      <c r="K170" s="2">
        <v>100.9</v>
      </c>
      <c r="L170" s="2">
        <v>81.8</v>
      </c>
      <c r="N170" s="3">
        <f t="shared" si="32"/>
        <v>382.45922226883368</v>
      </c>
      <c r="O170" s="3">
        <f t="shared" si="33"/>
        <v>239.61546802460822</v>
      </c>
      <c r="P170" s="3">
        <f t="shared" si="34"/>
        <v>884.87924571115002</v>
      </c>
      <c r="Q170" s="3">
        <f t="shared" si="35"/>
        <v>462.21591032769538</v>
      </c>
      <c r="R170" s="3">
        <f t="shared" si="38"/>
        <v>0.84688647804567196</v>
      </c>
      <c r="S170" s="3">
        <f t="shared" si="36"/>
        <v>9.2311014319085061</v>
      </c>
      <c r="T170" s="3">
        <f t="shared" si="37"/>
        <v>1.6658333333333335</v>
      </c>
      <c r="V170">
        <f t="shared" si="44"/>
        <v>163</v>
      </c>
      <c r="W170">
        <f t="shared" si="39"/>
        <v>1.3930319235446404</v>
      </c>
      <c r="X170">
        <f t="shared" si="39"/>
        <v>-0.3605258477638813</v>
      </c>
      <c r="Y170">
        <f t="shared" si="39"/>
        <v>0.21532836900098573</v>
      </c>
      <c r="Z170">
        <f t="shared" si="40"/>
        <v>0.29884317331709553</v>
      </c>
      <c r="AA170">
        <f t="shared" si="41"/>
        <v>0.84688647804567196</v>
      </c>
      <c r="AB170">
        <f t="shared" si="42"/>
        <v>0.75511944037276812</v>
      </c>
      <c r="AC170" s="6">
        <f t="shared" si="43"/>
        <v>1.6658333333333335</v>
      </c>
    </row>
    <row r="171" spans="1:29" x14ac:dyDescent="0.2">
      <c r="A171">
        <v>1988.2</v>
      </c>
      <c r="B171" s="2">
        <v>6723.5439999999999</v>
      </c>
      <c r="C171" s="2">
        <v>75.3</v>
      </c>
      <c r="D171" s="2">
        <v>3316.4</v>
      </c>
      <c r="E171" s="2">
        <v>800.7</v>
      </c>
      <c r="F171" s="2">
        <v>114623</v>
      </c>
      <c r="G171" s="2">
        <f t="shared" si="30"/>
        <v>96.522193123542138</v>
      </c>
      <c r="H171" s="2">
        <v>7.1566666666666663</v>
      </c>
      <c r="I171" s="2">
        <v>184389.33333333334</v>
      </c>
      <c r="J171" s="2">
        <f t="shared" si="31"/>
        <v>0.95526470755845982</v>
      </c>
      <c r="K171" s="2">
        <v>101.2</v>
      </c>
      <c r="L171" s="2">
        <v>82.7</v>
      </c>
      <c r="N171" s="3">
        <f t="shared" si="32"/>
        <v>383.09217976556062</v>
      </c>
      <c r="O171" s="3">
        <f t="shared" si="33"/>
        <v>240.97730064921308</v>
      </c>
      <c r="P171" s="3">
        <f t="shared" si="34"/>
        <v>885.91374716725056</v>
      </c>
      <c r="Q171" s="3">
        <f t="shared" si="35"/>
        <v>462.74683295429713</v>
      </c>
      <c r="R171" s="3">
        <f t="shared" si="38"/>
        <v>0.95139055162309916</v>
      </c>
      <c r="S171" s="3">
        <f t="shared" si="36"/>
        <v>9.3739467223797863</v>
      </c>
      <c r="T171" s="3">
        <f t="shared" si="37"/>
        <v>1.7891666666666666</v>
      </c>
      <c r="V171">
        <f t="shared" si="44"/>
        <v>164</v>
      </c>
      <c r="W171">
        <f t="shared" si="39"/>
        <v>0.63295749672693091</v>
      </c>
      <c r="X171">
        <f t="shared" si="39"/>
        <v>1.3618326246048582</v>
      </c>
      <c r="Y171">
        <f t="shared" si="39"/>
        <v>1.0345014561005428</v>
      </c>
      <c r="Z171">
        <f t="shared" si="40"/>
        <v>0.82976579991884591</v>
      </c>
      <c r="AA171">
        <f t="shared" si="41"/>
        <v>0.95139055162309916</v>
      </c>
      <c r="AB171">
        <f t="shared" si="42"/>
        <v>0.14284529047128025</v>
      </c>
      <c r="AC171" s="6">
        <f t="shared" si="43"/>
        <v>1.7891666666666666</v>
      </c>
    </row>
    <row r="172" spans="1:29" x14ac:dyDescent="0.2">
      <c r="A172">
        <v>1988.3</v>
      </c>
      <c r="B172" s="2">
        <v>6759.3760000000002</v>
      </c>
      <c r="C172" s="2">
        <v>76.141000000000005</v>
      </c>
      <c r="D172" s="2">
        <v>3384</v>
      </c>
      <c r="E172" s="2">
        <v>807.5</v>
      </c>
      <c r="F172" s="2">
        <v>115232.66666666667</v>
      </c>
      <c r="G172" s="2">
        <f t="shared" si="30"/>
        <v>97.035583662447834</v>
      </c>
      <c r="H172" s="2">
        <v>7.9833333333333334</v>
      </c>
      <c r="I172" s="2">
        <v>184840.33333333334</v>
      </c>
      <c r="J172" s="2">
        <f t="shared" si="31"/>
        <v>0.95760120053948294</v>
      </c>
      <c r="K172" s="2">
        <v>101</v>
      </c>
      <c r="L172" s="2">
        <v>83.7</v>
      </c>
      <c r="N172" s="3">
        <f t="shared" si="32"/>
        <v>383.75507071998896</v>
      </c>
      <c r="O172" s="3">
        <f t="shared" si="33"/>
        <v>240.46800415705874</v>
      </c>
      <c r="P172" s="3">
        <f t="shared" si="34"/>
        <v>886.20097281270421</v>
      </c>
      <c r="Q172" s="3">
        <f t="shared" si="35"/>
        <v>462.83519550103824</v>
      </c>
      <c r="R172" s="3">
        <f t="shared" si="38"/>
        <v>1.1106749763334811</v>
      </c>
      <c r="S172" s="3">
        <f t="shared" si="36"/>
        <v>9.4652092926247704</v>
      </c>
      <c r="T172" s="3">
        <f t="shared" si="37"/>
        <v>1.9958333333333333</v>
      </c>
      <c r="V172">
        <f t="shared" si="44"/>
        <v>165</v>
      </c>
      <c r="W172">
        <f t="shared" si="39"/>
        <v>0.66289095442834878</v>
      </c>
      <c r="X172">
        <f t="shared" si="39"/>
        <v>-0.50929649215433415</v>
      </c>
      <c r="Y172">
        <f t="shared" si="39"/>
        <v>0.28722564545364548</v>
      </c>
      <c r="Z172">
        <f t="shared" si="40"/>
        <v>0.91812834665995524</v>
      </c>
      <c r="AA172">
        <f t="shared" si="41"/>
        <v>1.1106749763334811</v>
      </c>
      <c r="AB172">
        <f t="shared" si="42"/>
        <v>9.1262570244984076E-2</v>
      </c>
      <c r="AC172" s="6">
        <f t="shared" si="43"/>
        <v>1.9958333333333333</v>
      </c>
    </row>
    <row r="173" spans="1:29" x14ac:dyDescent="0.2">
      <c r="A173">
        <v>1988.4</v>
      </c>
      <c r="B173" s="2">
        <v>6848.6120000000001</v>
      </c>
      <c r="C173" s="2">
        <v>76.712000000000003</v>
      </c>
      <c r="D173" s="2">
        <v>3457.2</v>
      </c>
      <c r="E173" s="2">
        <v>823.5</v>
      </c>
      <c r="F173" s="2">
        <v>115947.33333333333</v>
      </c>
      <c r="G173" s="2">
        <f t="shared" si="30"/>
        <v>97.637393020246492</v>
      </c>
      <c r="H173" s="2">
        <v>8.4700000000000006</v>
      </c>
      <c r="I173" s="2">
        <v>185253.33333333334</v>
      </c>
      <c r="J173" s="2">
        <f t="shared" si="31"/>
        <v>0.95974082714959941</v>
      </c>
      <c r="K173" s="2">
        <v>101.4</v>
      </c>
      <c r="L173" s="2">
        <v>84.2</v>
      </c>
      <c r="N173" s="3">
        <f t="shared" si="32"/>
        <v>384.92481447154501</v>
      </c>
      <c r="O173" s="3">
        <f t="shared" si="33"/>
        <v>241.45974024546621</v>
      </c>
      <c r="P173" s="3">
        <f t="shared" si="34"/>
        <v>887.28932856756182</v>
      </c>
      <c r="Q173" s="3">
        <f t="shared" si="35"/>
        <v>463.62554531101068</v>
      </c>
      <c r="R173" s="3">
        <f t="shared" si="38"/>
        <v>0.74712652821977699</v>
      </c>
      <c r="S173" s="3">
        <f t="shared" si="36"/>
        <v>9.3136771396900926</v>
      </c>
      <c r="T173" s="3">
        <f t="shared" si="37"/>
        <v>2.1175000000000002</v>
      </c>
      <c r="V173">
        <f t="shared" si="44"/>
        <v>166</v>
      </c>
      <c r="W173">
        <f t="shared" si="39"/>
        <v>1.1697437515560409</v>
      </c>
      <c r="X173">
        <f t="shared" si="39"/>
        <v>0.99173608840746397</v>
      </c>
      <c r="Y173">
        <f t="shared" si="39"/>
        <v>1.0883557548576164</v>
      </c>
      <c r="Z173">
        <f t="shared" si="40"/>
        <v>1.7084781566323954</v>
      </c>
      <c r="AA173">
        <f t="shared" si="41"/>
        <v>0.74712652821977699</v>
      </c>
      <c r="AB173">
        <f t="shared" si="42"/>
        <v>-0.15153215293467781</v>
      </c>
      <c r="AC173" s="6">
        <f t="shared" si="43"/>
        <v>2.1175000000000002</v>
      </c>
    </row>
    <row r="174" spans="1:29" x14ac:dyDescent="0.2">
      <c r="A174">
        <v>1989.1</v>
      </c>
      <c r="B174" s="2">
        <v>6918.116</v>
      </c>
      <c r="C174" s="2">
        <v>77.58</v>
      </c>
      <c r="D174" s="2">
        <v>3511.3</v>
      </c>
      <c r="E174" s="2">
        <v>835.9</v>
      </c>
      <c r="F174" s="2">
        <v>116835.33333333333</v>
      </c>
      <c r="G174" s="2">
        <f t="shared" si="30"/>
        <v>98.385163602884418</v>
      </c>
      <c r="H174" s="2">
        <v>9.4433333333333334</v>
      </c>
      <c r="I174" s="2">
        <v>185772.66666666666</v>
      </c>
      <c r="J174" s="2">
        <f t="shared" si="31"/>
        <v>0.96243133421865623</v>
      </c>
      <c r="K174" s="2">
        <v>101.6</v>
      </c>
      <c r="L174" s="2">
        <v>84.4</v>
      </c>
      <c r="N174" s="3">
        <f t="shared" si="32"/>
        <v>385.07245126849045</v>
      </c>
      <c r="O174" s="3">
        <f t="shared" si="33"/>
        <v>241.54918831299085</v>
      </c>
      <c r="P174" s="3">
        <f t="shared" si="34"/>
        <v>888.01913136451344</v>
      </c>
      <c r="Q174" s="3">
        <f t="shared" si="35"/>
        <v>464.30559218897633</v>
      </c>
      <c r="R174" s="3">
        <f t="shared" si="38"/>
        <v>1.1251512160440846</v>
      </c>
      <c r="S174" s="3">
        <f t="shared" si="36"/>
        <v>8.4257739590090335</v>
      </c>
      <c r="T174" s="3">
        <f t="shared" si="37"/>
        <v>2.3608333333333333</v>
      </c>
      <c r="V174">
        <f t="shared" si="44"/>
        <v>167</v>
      </c>
      <c r="W174">
        <f t="shared" si="39"/>
        <v>0.14763679694544862</v>
      </c>
      <c r="X174">
        <f t="shared" si="39"/>
        <v>8.9448067524642738E-2</v>
      </c>
      <c r="Y174">
        <f t="shared" si="39"/>
        <v>0.72980279695161698</v>
      </c>
      <c r="Z174">
        <f t="shared" si="40"/>
        <v>2.3885250345980467</v>
      </c>
      <c r="AA174">
        <f t="shared" si="41"/>
        <v>1.1251512160440846</v>
      </c>
      <c r="AB174">
        <f t="shared" si="42"/>
        <v>-0.88790318068105911</v>
      </c>
      <c r="AC174" s="6">
        <f t="shared" si="43"/>
        <v>2.3608333333333333</v>
      </c>
    </row>
    <row r="175" spans="1:29" x14ac:dyDescent="0.2">
      <c r="A175">
        <v>1989.2</v>
      </c>
      <c r="B175" s="2">
        <v>6963.4709999999995</v>
      </c>
      <c r="C175" s="2">
        <v>78.323999999999998</v>
      </c>
      <c r="D175" s="2">
        <v>3573.9</v>
      </c>
      <c r="E175" s="2">
        <v>842.1</v>
      </c>
      <c r="F175" s="2">
        <v>117204.66666666667</v>
      </c>
      <c r="G175" s="2">
        <f t="shared" si="30"/>
        <v>98.696173289657253</v>
      </c>
      <c r="H175" s="2">
        <v>9.7266666666666666</v>
      </c>
      <c r="I175" s="2">
        <v>186178</v>
      </c>
      <c r="J175" s="2">
        <f t="shared" si="31"/>
        <v>0.96453124217499342</v>
      </c>
      <c r="K175" s="2">
        <v>101.7</v>
      </c>
      <c r="L175" s="2">
        <v>84.7</v>
      </c>
      <c r="N175" s="3">
        <f t="shared" si="32"/>
        <v>385.6671701098968</v>
      </c>
      <c r="O175" s="3">
        <f t="shared" si="33"/>
        <v>241.11577576614894</v>
      </c>
      <c r="P175" s="3">
        <f t="shared" si="34"/>
        <v>888.45463909786849</v>
      </c>
      <c r="Q175" s="3">
        <f t="shared" si="35"/>
        <v>464.50163466927694</v>
      </c>
      <c r="R175" s="3">
        <f t="shared" si="38"/>
        <v>0.95444074292592163</v>
      </c>
      <c r="S175" s="3">
        <f t="shared" si="36"/>
        <v>7.8261532216927998</v>
      </c>
      <c r="T175" s="3">
        <f t="shared" si="37"/>
        <v>2.4316666666666666</v>
      </c>
      <c r="V175">
        <f t="shared" si="44"/>
        <v>168</v>
      </c>
      <c r="W175">
        <f t="shared" si="39"/>
        <v>0.59471884140634756</v>
      </c>
      <c r="X175">
        <f t="shared" si="39"/>
        <v>-0.43341254684190744</v>
      </c>
      <c r="Y175">
        <f t="shared" si="39"/>
        <v>0.43550773335505255</v>
      </c>
      <c r="Z175">
        <f t="shared" si="40"/>
        <v>2.5845675148986516</v>
      </c>
      <c r="AA175">
        <f t="shared" si="41"/>
        <v>0.95444074292592163</v>
      </c>
      <c r="AB175">
        <f t="shared" si="42"/>
        <v>-0.59962073731623367</v>
      </c>
      <c r="AC175" s="6">
        <f t="shared" si="43"/>
        <v>2.4316666666666666</v>
      </c>
    </row>
    <row r="176" spans="1:29" x14ac:dyDescent="0.2">
      <c r="A176">
        <v>1989.3</v>
      </c>
      <c r="B176" s="2">
        <v>7013.1440000000002</v>
      </c>
      <c r="C176" s="2">
        <v>78.879000000000005</v>
      </c>
      <c r="D176" s="2">
        <v>3630.9</v>
      </c>
      <c r="E176" s="2">
        <v>860.4</v>
      </c>
      <c r="F176" s="2">
        <v>117493.66666666667</v>
      </c>
      <c r="G176" s="2">
        <f t="shared" si="30"/>
        <v>98.939535562610345</v>
      </c>
      <c r="H176" s="2">
        <v>9.0833333333333339</v>
      </c>
      <c r="I176" s="2">
        <v>186602.33333333334</v>
      </c>
      <c r="J176" s="2">
        <f t="shared" si="31"/>
        <v>0.96672958331678394</v>
      </c>
      <c r="K176" s="2">
        <v>101.8</v>
      </c>
      <c r="L176" s="2">
        <v>85.3</v>
      </c>
      <c r="N176" s="3">
        <f t="shared" si="32"/>
        <v>386.31572652873541</v>
      </c>
      <c r="O176" s="3">
        <f t="shared" si="33"/>
        <v>242.33188322682611</v>
      </c>
      <c r="P176" s="3">
        <f t="shared" si="34"/>
        <v>888.9377849225333</v>
      </c>
      <c r="Q176" s="3">
        <f t="shared" si="35"/>
        <v>464.6185297389103</v>
      </c>
      <c r="R176" s="3">
        <f t="shared" si="38"/>
        <v>0.7060963288152422</v>
      </c>
      <c r="S176" s="3">
        <f t="shared" si="36"/>
        <v>7.8259421768400328</v>
      </c>
      <c r="T176" s="3">
        <f t="shared" si="37"/>
        <v>2.2708333333333335</v>
      </c>
      <c r="V176">
        <f t="shared" si="44"/>
        <v>169</v>
      </c>
      <c r="W176">
        <f t="shared" si="39"/>
        <v>0.64855641883860926</v>
      </c>
      <c r="X176">
        <f t="shared" si="39"/>
        <v>1.2161074606771649</v>
      </c>
      <c r="Y176">
        <f t="shared" si="39"/>
        <v>0.4831458246648026</v>
      </c>
      <c r="Z176">
        <f t="shared" si="40"/>
        <v>2.7014625845320097</v>
      </c>
      <c r="AA176">
        <f t="shared" si="41"/>
        <v>0.7060963288152422</v>
      </c>
      <c r="AB176">
        <f t="shared" si="42"/>
        <v>-2.1104485276701723E-4</v>
      </c>
      <c r="AC176" s="6">
        <f t="shared" si="43"/>
        <v>2.2708333333333335</v>
      </c>
    </row>
    <row r="177" spans="1:29" x14ac:dyDescent="0.2">
      <c r="A177">
        <v>1989.4</v>
      </c>
      <c r="B177" s="2">
        <v>7030.9129999999996</v>
      </c>
      <c r="C177" s="2">
        <v>79.424999999999997</v>
      </c>
      <c r="D177" s="2">
        <v>3677.8</v>
      </c>
      <c r="E177" s="2">
        <v>850.6</v>
      </c>
      <c r="F177" s="2">
        <v>117774.33333333333</v>
      </c>
      <c r="G177" s="2">
        <f t="shared" si="30"/>
        <v>99.17588046898463</v>
      </c>
      <c r="H177" s="2">
        <v>8.6133333333333333</v>
      </c>
      <c r="I177" s="2">
        <v>187017.66666666666</v>
      </c>
      <c r="J177" s="2">
        <f t="shared" si="31"/>
        <v>0.9688812982128332</v>
      </c>
      <c r="K177" s="2">
        <v>101.4</v>
      </c>
      <c r="L177" s="2">
        <v>86.5</v>
      </c>
      <c r="N177" s="3">
        <f t="shared" si="32"/>
        <v>386.68700200105536</v>
      </c>
      <c r="O177" s="3">
        <f t="shared" si="33"/>
        <v>240.27419765233338</v>
      </c>
      <c r="P177" s="3">
        <f t="shared" si="34"/>
        <v>888.96850222086971</v>
      </c>
      <c r="Q177" s="3">
        <f t="shared" si="35"/>
        <v>464.24109233221492</v>
      </c>
      <c r="R177" s="3">
        <f t="shared" si="38"/>
        <v>0.68981474263472009</v>
      </c>
      <c r="S177" s="3">
        <f t="shared" si="36"/>
        <v>8.5331233782253868</v>
      </c>
      <c r="T177" s="3">
        <f t="shared" si="37"/>
        <v>2.1533333333333333</v>
      </c>
      <c r="V177">
        <f t="shared" si="44"/>
        <v>170</v>
      </c>
      <c r="W177">
        <f t="shared" si="39"/>
        <v>0.37127547231995095</v>
      </c>
      <c r="X177">
        <f t="shared" si="39"/>
        <v>-2.0576855744927229</v>
      </c>
      <c r="Y177">
        <f t="shared" si="39"/>
        <v>3.0717298336412568E-2</v>
      </c>
      <c r="Z177">
        <f t="shared" si="40"/>
        <v>2.3240251778366314</v>
      </c>
      <c r="AA177">
        <f t="shared" si="41"/>
        <v>0.68981474263472009</v>
      </c>
      <c r="AB177">
        <f t="shared" si="42"/>
        <v>0.70718120138535401</v>
      </c>
      <c r="AC177" s="6">
        <f t="shared" si="43"/>
        <v>2.1533333333333333</v>
      </c>
    </row>
    <row r="178" spans="1:29" x14ac:dyDescent="0.2">
      <c r="A178">
        <v>1990.1</v>
      </c>
      <c r="B178" s="2">
        <v>7112.1</v>
      </c>
      <c r="C178" s="2">
        <v>80.375</v>
      </c>
      <c r="D178" s="2">
        <v>3762.6</v>
      </c>
      <c r="E178" s="2">
        <v>866.1</v>
      </c>
      <c r="F178" s="2">
        <v>119114.33333333333</v>
      </c>
      <c r="G178" s="2">
        <f t="shared" si="30"/>
        <v>100.30427301485716</v>
      </c>
      <c r="H178" s="2">
        <v>8.25</v>
      </c>
      <c r="I178" s="2">
        <v>188519.66666666666</v>
      </c>
      <c r="J178" s="2">
        <f t="shared" si="31"/>
        <v>0.97666270055761528</v>
      </c>
      <c r="K178" s="2">
        <v>101.1</v>
      </c>
      <c r="L178" s="2">
        <v>88.1</v>
      </c>
      <c r="N178" s="3">
        <f t="shared" si="32"/>
        <v>386.97762307291356</v>
      </c>
      <c r="O178" s="3">
        <f t="shared" si="33"/>
        <v>240.09111192891046</v>
      </c>
      <c r="P178" s="3">
        <f t="shared" si="34"/>
        <v>889.3166764347186</v>
      </c>
      <c r="Q178" s="3">
        <f t="shared" si="35"/>
        <v>464.27621629502067</v>
      </c>
      <c r="R178" s="3">
        <f t="shared" si="38"/>
        <v>1.1890002402203947</v>
      </c>
      <c r="S178" s="3">
        <f t="shared" si="36"/>
        <v>9.1769350384350226</v>
      </c>
      <c r="T178" s="3">
        <f t="shared" si="37"/>
        <v>2.0625</v>
      </c>
      <c r="V178">
        <f t="shared" si="44"/>
        <v>171</v>
      </c>
      <c r="W178">
        <f t="shared" si="39"/>
        <v>0.29062107185819741</v>
      </c>
      <c r="X178">
        <f t="shared" si="39"/>
        <v>-0.18308572342291995</v>
      </c>
      <c r="Y178">
        <f t="shared" si="39"/>
        <v>0.34817421384889258</v>
      </c>
      <c r="Z178">
        <f t="shared" si="40"/>
        <v>2.359149140642387</v>
      </c>
      <c r="AA178">
        <f t="shared" si="41"/>
        <v>1.1890002402203947</v>
      </c>
      <c r="AB178">
        <f t="shared" si="42"/>
        <v>0.64381166020963576</v>
      </c>
      <c r="AC178" s="6">
        <f t="shared" si="43"/>
        <v>2.0625</v>
      </c>
    </row>
    <row r="179" spans="1:29" x14ac:dyDescent="0.2">
      <c r="A179">
        <v>1990.2</v>
      </c>
      <c r="B179" s="2">
        <v>7130.2610000000004</v>
      </c>
      <c r="C179" s="2">
        <v>81.311000000000007</v>
      </c>
      <c r="D179" s="2">
        <v>3815.9</v>
      </c>
      <c r="E179" s="2">
        <v>848.8</v>
      </c>
      <c r="F179" s="2">
        <v>118995.33333333333</v>
      </c>
      <c r="G179" s="2">
        <f t="shared" si="30"/>
        <v>100.20406502011177</v>
      </c>
      <c r="H179" s="2">
        <v>8.2433333333333323</v>
      </c>
      <c r="I179" s="2">
        <v>188916.33333333334</v>
      </c>
      <c r="J179" s="2">
        <f t="shared" si="31"/>
        <v>0.97871770916620182</v>
      </c>
      <c r="K179" s="2">
        <v>100.6</v>
      </c>
      <c r="L179" s="2">
        <v>90</v>
      </c>
      <c r="N179" s="3">
        <f t="shared" si="32"/>
        <v>387.01625421529945</v>
      </c>
      <c r="O179" s="3">
        <f t="shared" si="33"/>
        <v>236.70543026786933</v>
      </c>
      <c r="P179" s="3">
        <f t="shared" si="34"/>
        <v>889.3615142762261</v>
      </c>
      <c r="Q179" s="3">
        <f t="shared" si="35"/>
        <v>463.47028527016977</v>
      </c>
      <c r="R179" s="3">
        <f t="shared" si="38"/>
        <v>1.1578126196591931</v>
      </c>
      <c r="S179" s="3">
        <f t="shared" si="36"/>
        <v>10.152836157588915</v>
      </c>
      <c r="T179" s="3">
        <f t="shared" si="37"/>
        <v>2.0608333333333331</v>
      </c>
      <c r="V179">
        <f t="shared" si="44"/>
        <v>172</v>
      </c>
      <c r="W179">
        <f t="shared" si="39"/>
        <v>3.86311423858956E-2</v>
      </c>
      <c r="X179">
        <f t="shared" si="39"/>
        <v>-3.3856816610411329</v>
      </c>
      <c r="Y179">
        <f t="shared" si="39"/>
        <v>4.4837841507501253E-2</v>
      </c>
      <c r="Z179">
        <f t="shared" si="40"/>
        <v>1.5532181157914806</v>
      </c>
      <c r="AA179">
        <f t="shared" si="41"/>
        <v>1.1578126196591931</v>
      </c>
      <c r="AB179">
        <f t="shared" si="42"/>
        <v>0.97590111915389244</v>
      </c>
      <c r="AC179" s="6">
        <f t="shared" si="43"/>
        <v>2.0608333333333331</v>
      </c>
    </row>
    <row r="180" spans="1:29" x14ac:dyDescent="0.2">
      <c r="A180">
        <v>1990.3</v>
      </c>
      <c r="B180" s="2">
        <v>7130.7520000000004</v>
      </c>
      <c r="C180" s="2">
        <v>82.031000000000006</v>
      </c>
      <c r="D180" s="2">
        <v>3879.6</v>
      </c>
      <c r="E180" s="2">
        <v>844.9</v>
      </c>
      <c r="F180" s="2">
        <v>118712</v>
      </c>
      <c r="G180" s="2">
        <f t="shared" si="30"/>
        <v>99.965474556432255</v>
      </c>
      <c r="H180" s="2">
        <v>8.16</v>
      </c>
      <c r="I180" s="2">
        <v>189352.66666666666</v>
      </c>
      <c r="J180" s="2">
        <f t="shared" si="31"/>
        <v>0.98097821863564683</v>
      </c>
      <c r="K180" s="2">
        <v>100.1</v>
      </c>
      <c r="L180" s="2">
        <v>91.4</v>
      </c>
      <c r="N180" s="3">
        <f t="shared" si="32"/>
        <v>387.55951328059911</v>
      </c>
      <c r="O180" s="3">
        <f t="shared" si="33"/>
        <v>235.13260754454026</v>
      </c>
      <c r="P180" s="3">
        <f t="shared" si="34"/>
        <v>889.13770005814195</v>
      </c>
      <c r="Q180" s="3">
        <f t="shared" si="35"/>
        <v>462.50293951603726</v>
      </c>
      <c r="R180" s="3">
        <f t="shared" si="38"/>
        <v>0.8815915847930178</v>
      </c>
      <c r="S180" s="3">
        <f t="shared" si="36"/>
        <v>10.814825385779837</v>
      </c>
      <c r="T180" s="3">
        <f t="shared" si="37"/>
        <v>2.04</v>
      </c>
      <c r="V180">
        <f t="shared" si="44"/>
        <v>173</v>
      </c>
      <c r="W180">
        <f t="shared" si="39"/>
        <v>0.54325906529965096</v>
      </c>
      <c r="X180">
        <f t="shared" si="39"/>
        <v>-1.5728227233290681</v>
      </c>
      <c r="Y180">
        <f t="shared" si="39"/>
        <v>-0.2238142180841578</v>
      </c>
      <c r="Z180">
        <f t="shared" si="40"/>
        <v>0.58587236165897139</v>
      </c>
      <c r="AA180">
        <f t="shared" si="41"/>
        <v>0.8815915847930178</v>
      </c>
      <c r="AB180">
        <f t="shared" si="42"/>
        <v>0.66198922819092232</v>
      </c>
      <c r="AC180" s="6">
        <f t="shared" si="43"/>
        <v>2.04</v>
      </c>
    </row>
    <row r="181" spans="1:29" x14ac:dyDescent="0.2">
      <c r="A181">
        <v>1990.4</v>
      </c>
      <c r="B181" s="2">
        <v>7076.857</v>
      </c>
      <c r="C181" s="2">
        <v>82.646000000000001</v>
      </c>
      <c r="D181" s="2">
        <v>3901.7</v>
      </c>
      <c r="E181" s="2">
        <v>825.9</v>
      </c>
      <c r="F181" s="2">
        <v>118361</v>
      </c>
      <c r="G181" s="2">
        <f t="shared" si="30"/>
        <v>99.669903076132812</v>
      </c>
      <c r="H181" s="2">
        <v>7.7433333333333323</v>
      </c>
      <c r="I181" s="2">
        <v>189866.33333333334</v>
      </c>
      <c r="J181" s="2">
        <f t="shared" si="31"/>
        <v>0.9836393684388669</v>
      </c>
      <c r="K181" s="2">
        <v>100.1</v>
      </c>
      <c r="L181" s="2">
        <v>92.2</v>
      </c>
      <c r="N181" s="3">
        <f t="shared" si="32"/>
        <v>387.10971529310092</v>
      </c>
      <c r="O181" s="3">
        <f t="shared" si="33"/>
        <v>231.84032191697335</v>
      </c>
      <c r="P181" s="3">
        <f t="shared" si="34"/>
        <v>888.10811061642539</v>
      </c>
      <c r="Q181" s="3">
        <f t="shared" si="35"/>
        <v>461.93592014589512</v>
      </c>
      <c r="R181" s="3">
        <f t="shared" si="38"/>
        <v>0.74692016393571592</v>
      </c>
      <c r="S181" s="3">
        <f t="shared" si="36"/>
        <v>10.939370432088495</v>
      </c>
      <c r="T181" s="3">
        <f t="shared" si="37"/>
        <v>1.9358333333333331</v>
      </c>
      <c r="V181">
        <f t="shared" si="44"/>
        <v>174</v>
      </c>
      <c r="W181">
        <f t="shared" si="39"/>
        <v>-0.44979798749818656</v>
      </c>
      <c r="X181">
        <f t="shared" si="39"/>
        <v>-3.2922856275669119</v>
      </c>
      <c r="Y181">
        <f t="shared" si="39"/>
        <v>-1.0295894417165528</v>
      </c>
      <c r="Z181">
        <f t="shared" si="40"/>
        <v>1.8852991516837392E-2</v>
      </c>
      <c r="AA181">
        <f t="shared" si="41"/>
        <v>0.74692016393571592</v>
      </c>
      <c r="AB181">
        <f t="shared" si="42"/>
        <v>0.1245450463086577</v>
      </c>
      <c r="AC181" s="6">
        <f t="shared" si="43"/>
        <v>1.9358333333333331</v>
      </c>
    </row>
    <row r="182" spans="1:29" x14ac:dyDescent="0.2">
      <c r="A182">
        <v>1991.1</v>
      </c>
      <c r="B182" s="2">
        <v>7040.8280000000004</v>
      </c>
      <c r="C182" s="2">
        <v>83.626000000000005</v>
      </c>
      <c r="D182" s="2">
        <v>3914.2</v>
      </c>
      <c r="E182" s="2">
        <v>803.4</v>
      </c>
      <c r="F182" s="2">
        <v>117782.33333333333</v>
      </c>
      <c r="G182" s="2">
        <f t="shared" si="30"/>
        <v>99.182617140900291</v>
      </c>
      <c r="H182" s="2">
        <v>6.4266666666666667</v>
      </c>
      <c r="I182" s="2">
        <v>190271.66666666666</v>
      </c>
      <c r="J182" s="2">
        <f t="shared" si="31"/>
        <v>0.98573927639520398</v>
      </c>
      <c r="K182" s="2">
        <v>99.8</v>
      </c>
      <c r="L182" s="2">
        <v>92.9</v>
      </c>
      <c r="N182" s="3">
        <f t="shared" si="32"/>
        <v>386.03751536562652</v>
      </c>
      <c r="O182" s="3">
        <f t="shared" si="33"/>
        <v>227.68616303105787</v>
      </c>
      <c r="P182" s="3">
        <f t="shared" si="34"/>
        <v>887.38444407812892</v>
      </c>
      <c r="Q182" s="3">
        <f t="shared" si="35"/>
        <v>460.93241507398136</v>
      </c>
      <c r="R182" s="3">
        <f t="shared" si="38"/>
        <v>1.1788050281718476</v>
      </c>
      <c r="S182" s="3">
        <f t="shared" si="36"/>
        <v>10.5169169296411</v>
      </c>
      <c r="T182" s="3">
        <f t="shared" si="37"/>
        <v>1.6066666666666667</v>
      </c>
      <c r="V182">
        <f t="shared" si="44"/>
        <v>175</v>
      </c>
      <c r="W182">
        <f t="shared" si="39"/>
        <v>-1.0721999274744007</v>
      </c>
      <c r="X182">
        <f t="shared" si="39"/>
        <v>-4.1541588859154785</v>
      </c>
      <c r="Y182">
        <f t="shared" si="39"/>
        <v>-0.72366653829647021</v>
      </c>
      <c r="Z182">
        <f t="shared" si="40"/>
        <v>-0.98465208039692698</v>
      </c>
      <c r="AA182">
        <f t="shared" si="41"/>
        <v>1.1788050281718476</v>
      </c>
      <c r="AB182">
        <f t="shared" si="42"/>
        <v>-0.42245350244739477</v>
      </c>
      <c r="AC182" s="6">
        <f t="shared" si="43"/>
        <v>1.6066666666666667</v>
      </c>
    </row>
    <row r="183" spans="1:29" x14ac:dyDescent="0.2">
      <c r="A183">
        <v>1991.2</v>
      </c>
      <c r="B183" s="2">
        <v>7086.4769999999999</v>
      </c>
      <c r="C183" s="2">
        <v>84.165000000000006</v>
      </c>
      <c r="D183" s="2">
        <v>3970.3</v>
      </c>
      <c r="E183" s="2">
        <v>802.1</v>
      </c>
      <c r="F183" s="2">
        <v>117729.33333333333</v>
      </c>
      <c r="G183" s="2">
        <f t="shared" si="30"/>
        <v>99.137986689459069</v>
      </c>
      <c r="H183" s="2">
        <v>5.8633333333333342</v>
      </c>
      <c r="I183" s="2">
        <v>190655.66666666666</v>
      </c>
      <c r="J183" s="2">
        <f t="shared" si="31"/>
        <v>0.98772866288015493</v>
      </c>
      <c r="K183" s="2">
        <v>99.6</v>
      </c>
      <c r="L183" s="2">
        <v>94.6</v>
      </c>
      <c r="N183" s="3">
        <f t="shared" si="32"/>
        <v>386.61650313709299</v>
      </c>
      <c r="O183" s="3">
        <f t="shared" si="33"/>
        <v>226.68013821669661</v>
      </c>
      <c r="P183" s="3">
        <f t="shared" si="34"/>
        <v>887.82908506589797</v>
      </c>
      <c r="Q183" s="3">
        <f t="shared" si="35"/>
        <v>460.48519149017392</v>
      </c>
      <c r="R183" s="3">
        <f t="shared" si="38"/>
        <v>0.64246813476636078</v>
      </c>
      <c r="S183" s="3">
        <f t="shared" si="36"/>
        <v>11.687831818678736</v>
      </c>
      <c r="T183" s="3">
        <f t="shared" si="37"/>
        <v>1.4658333333333335</v>
      </c>
      <c r="V183">
        <f t="shared" si="44"/>
        <v>176</v>
      </c>
      <c r="W183">
        <f t="shared" si="39"/>
        <v>0.57898777146647262</v>
      </c>
      <c r="X183">
        <f t="shared" si="39"/>
        <v>-1.0060248143612682</v>
      </c>
      <c r="Y183">
        <f t="shared" si="39"/>
        <v>0.44464098776904848</v>
      </c>
      <c r="Z183">
        <f t="shared" si="40"/>
        <v>-1.4318756642043695</v>
      </c>
      <c r="AA183">
        <f t="shared" si="41"/>
        <v>0.64246813476636078</v>
      </c>
      <c r="AB183">
        <f t="shared" si="42"/>
        <v>1.1709148890376362</v>
      </c>
      <c r="AC183" s="6">
        <f t="shared" si="43"/>
        <v>1.4658333333333335</v>
      </c>
    </row>
    <row r="184" spans="1:29" x14ac:dyDescent="0.2">
      <c r="A184">
        <v>1991.3</v>
      </c>
      <c r="B184" s="2">
        <v>7120.7380000000003</v>
      </c>
      <c r="C184" s="2">
        <v>84.762</v>
      </c>
      <c r="D184" s="2">
        <v>4015.7</v>
      </c>
      <c r="E184" s="2">
        <v>804.4</v>
      </c>
      <c r="F184" s="2">
        <v>117660</v>
      </c>
      <c r="G184" s="2">
        <f t="shared" si="30"/>
        <v>99.079602199523379</v>
      </c>
      <c r="H184" s="2">
        <v>5.6433333333333335</v>
      </c>
      <c r="I184" s="2">
        <v>191121.33333333334</v>
      </c>
      <c r="J184" s="2">
        <f t="shared" si="31"/>
        <v>0.99014113937275616</v>
      </c>
      <c r="K184" s="2">
        <v>99.8</v>
      </c>
      <c r="L184" s="2">
        <v>95.7</v>
      </c>
      <c r="N184" s="3">
        <f t="shared" si="32"/>
        <v>386.80274092204331</v>
      </c>
      <c r="O184" s="3">
        <f t="shared" si="33"/>
        <v>226.01571097328574</v>
      </c>
      <c r="P184" s="3">
        <f t="shared" si="34"/>
        <v>888.06744317118921</v>
      </c>
      <c r="Q184" s="3">
        <f t="shared" si="35"/>
        <v>460.38293679921338</v>
      </c>
      <c r="R184" s="3">
        <f t="shared" si="38"/>
        <v>0.70681712865372504</v>
      </c>
      <c r="S184" s="3">
        <f t="shared" si="36"/>
        <v>12.137096930132635</v>
      </c>
      <c r="T184" s="3">
        <f t="shared" si="37"/>
        <v>1.4108333333333334</v>
      </c>
      <c r="V184">
        <f t="shared" si="44"/>
        <v>177</v>
      </c>
      <c r="W184">
        <f t="shared" si="39"/>
        <v>0.18623778495032184</v>
      </c>
      <c r="X184">
        <f t="shared" si="39"/>
        <v>-0.66442724341087001</v>
      </c>
      <c r="Y184">
        <f t="shared" si="39"/>
        <v>0.23835810529124046</v>
      </c>
      <c r="Z184">
        <f t="shared" si="40"/>
        <v>-1.5341303551649048</v>
      </c>
      <c r="AA184">
        <f t="shared" si="41"/>
        <v>0.70681712865372504</v>
      </c>
      <c r="AB184">
        <f t="shared" si="42"/>
        <v>0.44926511145389902</v>
      </c>
      <c r="AC184" s="6">
        <f t="shared" si="43"/>
        <v>1.4108333333333334</v>
      </c>
    </row>
    <row r="185" spans="1:29" x14ac:dyDescent="0.2">
      <c r="A185">
        <v>1991.4</v>
      </c>
      <c r="B185" s="2">
        <v>7154.116</v>
      </c>
      <c r="C185" s="2">
        <v>85.206000000000003</v>
      </c>
      <c r="D185" s="2">
        <v>4044.1</v>
      </c>
      <c r="E185" s="2">
        <v>803.2</v>
      </c>
      <c r="F185" s="2">
        <v>117678.66666666667</v>
      </c>
      <c r="G185" s="2">
        <f t="shared" si="30"/>
        <v>99.095321100659916</v>
      </c>
      <c r="H185" s="2">
        <v>4.8166666666666664</v>
      </c>
      <c r="I185" s="2">
        <v>191650.66666666666</v>
      </c>
      <c r="J185" s="2">
        <f t="shared" si="31"/>
        <v>0.99288345338152517</v>
      </c>
      <c r="K185" s="2">
        <v>99.8</v>
      </c>
      <c r="L185" s="2">
        <v>96.7</v>
      </c>
      <c r="N185" s="3">
        <f t="shared" si="32"/>
        <v>386.70844439567821</v>
      </c>
      <c r="O185" s="3">
        <f t="shared" si="33"/>
        <v>225.06738850675299</v>
      </c>
      <c r="P185" s="3">
        <f t="shared" si="34"/>
        <v>888.25851244135629</v>
      </c>
      <c r="Q185" s="3">
        <f t="shared" si="35"/>
        <v>460.1222213652984</v>
      </c>
      <c r="R185" s="3">
        <f t="shared" si="38"/>
        <v>0.52245247333484457</v>
      </c>
      <c r="S185" s="3">
        <f t="shared" si="36"/>
        <v>12.654154856831754</v>
      </c>
      <c r="T185" s="3">
        <f t="shared" si="37"/>
        <v>1.2041666666666666</v>
      </c>
      <c r="V185">
        <f t="shared" si="44"/>
        <v>178</v>
      </c>
      <c r="W185">
        <f t="shared" si="39"/>
        <v>-9.4296526365098998E-2</v>
      </c>
      <c r="X185">
        <f t="shared" si="39"/>
        <v>-0.9483224665327441</v>
      </c>
      <c r="Y185">
        <f t="shared" si="39"/>
        <v>0.19106927016707687</v>
      </c>
      <c r="Z185">
        <f t="shared" si="40"/>
        <v>-1.7948457890798863</v>
      </c>
      <c r="AA185">
        <f t="shared" si="41"/>
        <v>0.52245247333484457</v>
      </c>
      <c r="AB185">
        <f t="shared" si="42"/>
        <v>0.51705792669911865</v>
      </c>
      <c r="AC185" s="6">
        <f t="shared" si="43"/>
        <v>1.2041666666666666</v>
      </c>
    </row>
    <row r="186" spans="1:29" x14ac:dyDescent="0.2">
      <c r="A186">
        <v>1992.1</v>
      </c>
      <c r="B186" s="2">
        <v>7228.2340000000004</v>
      </c>
      <c r="C186" s="2">
        <v>85.721000000000004</v>
      </c>
      <c r="D186" s="2">
        <v>4142.5</v>
      </c>
      <c r="E186" s="2">
        <v>810</v>
      </c>
      <c r="F186" s="2">
        <v>117958.33333333333</v>
      </c>
      <c r="G186" s="2">
        <f t="shared" si="30"/>
        <v>99.330823923044747</v>
      </c>
      <c r="H186" s="2">
        <v>4.0233333333333334</v>
      </c>
      <c r="I186" s="2">
        <v>192074.66666666666</v>
      </c>
      <c r="J186" s="2">
        <f t="shared" si="31"/>
        <v>0.99508006762532519</v>
      </c>
      <c r="K186" s="2">
        <v>99.8</v>
      </c>
      <c r="L186" s="2">
        <v>98.6</v>
      </c>
      <c r="N186" s="3">
        <f t="shared" si="32"/>
        <v>388.28889879603247</v>
      </c>
      <c r="O186" s="3">
        <f t="shared" si="33"/>
        <v>225.0868486326091</v>
      </c>
      <c r="P186" s="3">
        <f t="shared" si="34"/>
        <v>889.06821003746859</v>
      </c>
      <c r="Q186" s="3">
        <f t="shared" si="35"/>
        <v>460.13860074137131</v>
      </c>
      <c r="R186" s="3">
        <f t="shared" si="38"/>
        <v>0.60259825353403684</v>
      </c>
      <c r="S186" s="3">
        <f t="shared" si="36"/>
        <v>13.997342518231859</v>
      </c>
      <c r="T186" s="3">
        <f t="shared" si="37"/>
        <v>1.0058333333333334</v>
      </c>
      <c r="V186">
        <f t="shared" si="44"/>
        <v>179</v>
      </c>
      <c r="W186">
        <f t="shared" si="39"/>
        <v>1.580454400354256</v>
      </c>
      <c r="X186">
        <f t="shared" si="39"/>
        <v>1.9460125856113564E-2</v>
      </c>
      <c r="Y186">
        <f t="shared" si="39"/>
        <v>0.80969759611230074</v>
      </c>
      <c r="Z186">
        <f t="shared" si="40"/>
        <v>-1.7784664130069814</v>
      </c>
      <c r="AA186">
        <f t="shared" si="41"/>
        <v>0.60259825353403684</v>
      </c>
      <c r="AB186">
        <f t="shared" si="42"/>
        <v>1.3431876614001048</v>
      </c>
      <c r="AC186" s="6">
        <f t="shared" si="43"/>
        <v>1.0058333333333334</v>
      </c>
    </row>
    <row r="187" spans="1:29" x14ac:dyDescent="0.2">
      <c r="A187">
        <v>1992.2</v>
      </c>
      <c r="B187" s="2">
        <v>7297.9350000000004</v>
      </c>
      <c r="C187" s="2">
        <v>86.19</v>
      </c>
      <c r="D187" s="2">
        <v>4193.1000000000004</v>
      </c>
      <c r="E187" s="2">
        <v>842.2</v>
      </c>
      <c r="F187" s="2">
        <v>118406.66666666667</v>
      </c>
      <c r="G187" s="2">
        <f t="shared" si="30"/>
        <v>99.708358244984694</v>
      </c>
      <c r="H187" s="2">
        <v>3.77</v>
      </c>
      <c r="I187" s="2">
        <v>192506.66666666666</v>
      </c>
      <c r="J187" s="2">
        <f t="shared" si="31"/>
        <v>0.99731812742089498</v>
      </c>
      <c r="K187" s="2">
        <v>100</v>
      </c>
      <c r="L187" s="2">
        <v>99.4</v>
      </c>
      <c r="N187" s="3">
        <f t="shared" si="32"/>
        <v>388.73269097417295</v>
      </c>
      <c r="O187" s="3">
        <f t="shared" si="33"/>
        <v>228.21488293105867</v>
      </c>
      <c r="P187" s="3">
        <f t="shared" si="34"/>
        <v>889.80321856490582</v>
      </c>
      <c r="Q187" s="3">
        <f t="shared" si="35"/>
        <v>460.4934982647693</v>
      </c>
      <c r="R187" s="3">
        <f t="shared" si="38"/>
        <v>0.54563252330366296</v>
      </c>
      <c r="S187" s="3">
        <f t="shared" si="36"/>
        <v>14.259795200322062</v>
      </c>
      <c r="T187" s="3">
        <f t="shared" si="37"/>
        <v>0.9425</v>
      </c>
      <c r="V187">
        <f t="shared" si="44"/>
        <v>180</v>
      </c>
      <c r="W187">
        <f t="shared" si="39"/>
        <v>0.44379217814048388</v>
      </c>
      <c r="X187">
        <f t="shared" si="39"/>
        <v>3.1280342984495633</v>
      </c>
      <c r="Y187">
        <f t="shared" si="39"/>
        <v>0.73500852743723044</v>
      </c>
      <c r="Z187">
        <f t="shared" si="40"/>
        <v>-1.4235688896089869</v>
      </c>
      <c r="AA187">
        <f t="shared" si="41"/>
        <v>0.54563252330366296</v>
      </c>
      <c r="AB187">
        <f t="shared" si="42"/>
        <v>0.26245268209020267</v>
      </c>
      <c r="AC187" s="6">
        <f t="shared" si="43"/>
        <v>0.9425</v>
      </c>
    </row>
    <row r="188" spans="1:29" x14ac:dyDescent="0.2">
      <c r="A188">
        <v>1992.3</v>
      </c>
      <c r="B188" s="2">
        <v>7369.5</v>
      </c>
      <c r="C188" s="2">
        <v>86.58</v>
      </c>
      <c r="D188" s="2">
        <v>4264.3</v>
      </c>
      <c r="E188" s="2">
        <v>856.3</v>
      </c>
      <c r="F188" s="2">
        <v>118753</v>
      </c>
      <c r="G188" s="2">
        <f t="shared" si="30"/>
        <v>100</v>
      </c>
      <c r="H188" s="2">
        <v>3.2566666666666664</v>
      </c>
      <c r="I188" s="2">
        <v>193024.33333333334</v>
      </c>
      <c r="J188" s="2">
        <f t="shared" si="31"/>
        <v>1</v>
      </c>
      <c r="K188" s="2">
        <v>100</v>
      </c>
      <c r="L188" s="2">
        <v>100.8</v>
      </c>
      <c r="N188" s="3">
        <f t="shared" si="32"/>
        <v>389.69644778297408</v>
      </c>
      <c r="O188" s="3">
        <f t="shared" si="33"/>
        <v>229.15519400183118</v>
      </c>
      <c r="P188" s="3">
        <f t="shared" si="34"/>
        <v>890.51051402768132</v>
      </c>
      <c r="Q188" s="3">
        <f t="shared" si="35"/>
        <v>460.51701859880916</v>
      </c>
      <c r="R188" s="3">
        <f t="shared" si="38"/>
        <v>0.45146803545268455</v>
      </c>
      <c r="S188" s="3">
        <f t="shared" si="36"/>
        <v>15.206951362343379</v>
      </c>
      <c r="T188" s="3">
        <f t="shared" si="37"/>
        <v>0.81416666666666659</v>
      </c>
      <c r="V188">
        <f t="shared" si="44"/>
        <v>181</v>
      </c>
      <c r="W188">
        <f t="shared" si="39"/>
        <v>0.96375680880112213</v>
      </c>
      <c r="X188">
        <f t="shared" si="39"/>
        <v>0.94031107077250908</v>
      </c>
      <c r="Y188">
        <f t="shared" si="39"/>
        <v>0.70729546277550526</v>
      </c>
      <c r="Z188">
        <f t="shared" si="40"/>
        <v>-1.4000485555691284</v>
      </c>
      <c r="AA188">
        <f t="shared" si="41"/>
        <v>0.45146803545268455</v>
      </c>
      <c r="AB188">
        <f t="shared" si="42"/>
        <v>0.94715616202131692</v>
      </c>
      <c r="AC188" s="6">
        <f t="shared" si="43"/>
        <v>0.81416666666666659</v>
      </c>
    </row>
    <row r="189" spans="1:29" x14ac:dyDescent="0.2">
      <c r="A189">
        <v>1992.4</v>
      </c>
      <c r="B189" s="2">
        <v>7450.6869999999999</v>
      </c>
      <c r="C189" s="2">
        <v>87.028999999999996</v>
      </c>
      <c r="D189" s="2">
        <v>4341.1000000000004</v>
      </c>
      <c r="E189" s="2">
        <v>885.3</v>
      </c>
      <c r="F189" s="2">
        <v>118833.66666666667</v>
      </c>
      <c r="G189" s="2">
        <f t="shared" si="30"/>
        <v>100.06792810848289</v>
      </c>
      <c r="H189" s="2">
        <v>3.0366666666666666</v>
      </c>
      <c r="I189" s="2">
        <v>193615.66666666666</v>
      </c>
      <c r="J189" s="2">
        <f t="shared" si="31"/>
        <v>1.0030635170349851</v>
      </c>
      <c r="K189" s="2">
        <v>100.2</v>
      </c>
      <c r="L189" s="2">
        <v>101.2</v>
      </c>
      <c r="N189" s="3">
        <f t="shared" si="32"/>
        <v>390.6582820727794</v>
      </c>
      <c r="O189" s="3">
        <f t="shared" si="33"/>
        <v>231.66263401437504</v>
      </c>
      <c r="P189" s="3">
        <f t="shared" si="34"/>
        <v>891.30026878586364</v>
      </c>
      <c r="Q189" s="3">
        <f t="shared" si="35"/>
        <v>460.47884051000733</v>
      </c>
      <c r="R189" s="3">
        <f t="shared" si="38"/>
        <v>0.51725544308691696</v>
      </c>
      <c r="S189" s="3">
        <f t="shared" si="36"/>
        <v>15.085736040866109</v>
      </c>
      <c r="T189" s="3">
        <f t="shared" si="37"/>
        <v>0.75916666666666666</v>
      </c>
      <c r="V189">
        <f t="shared" si="44"/>
        <v>182</v>
      </c>
      <c r="W189">
        <f t="shared" si="39"/>
        <v>0.96183428980532426</v>
      </c>
      <c r="X189">
        <f t="shared" si="39"/>
        <v>2.5074400125438672</v>
      </c>
      <c r="Y189">
        <f t="shared" si="39"/>
        <v>0.78975475818231189</v>
      </c>
      <c r="Z189">
        <f t="shared" si="40"/>
        <v>-1.4382266443709568</v>
      </c>
      <c r="AA189">
        <f t="shared" si="41"/>
        <v>0.51725544308691696</v>
      </c>
      <c r="AB189">
        <f t="shared" si="42"/>
        <v>-0.1212153214772691</v>
      </c>
      <c r="AC189" s="6">
        <f t="shared" si="43"/>
        <v>0.75916666666666666</v>
      </c>
    </row>
    <row r="190" spans="1:29" x14ac:dyDescent="0.2">
      <c r="A190">
        <v>1993.1</v>
      </c>
      <c r="B190" s="2">
        <v>7459.7179999999998</v>
      </c>
      <c r="C190" s="2">
        <v>87.706999999999994</v>
      </c>
      <c r="D190" s="2">
        <v>4379.3</v>
      </c>
      <c r="E190" s="2">
        <v>895.4</v>
      </c>
      <c r="F190" s="2">
        <v>119297.33333333333</v>
      </c>
      <c r="G190" s="2">
        <f t="shared" si="30"/>
        <v>100.45837438492782</v>
      </c>
      <c r="H190" s="2">
        <v>3.04</v>
      </c>
      <c r="I190" s="2">
        <v>194106</v>
      </c>
      <c r="J190" s="2">
        <f t="shared" si="31"/>
        <v>1.0056037839788765</v>
      </c>
      <c r="K190" s="2">
        <v>100.3</v>
      </c>
      <c r="L190" s="2">
        <v>101.4</v>
      </c>
      <c r="N190" s="3">
        <f t="shared" si="32"/>
        <v>390.50543183005709</v>
      </c>
      <c r="O190" s="3">
        <f t="shared" si="33"/>
        <v>231.76806908606963</v>
      </c>
      <c r="P190" s="3">
        <f t="shared" si="34"/>
        <v>891.16847496813079</v>
      </c>
      <c r="Q190" s="3">
        <f t="shared" si="35"/>
        <v>460.71508242625174</v>
      </c>
      <c r="R190" s="3">
        <f t="shared" si="38"/>
        <v>0.77603173080449395</v>
      </c>
      <c r="S190" s="3">
        <f t="shared" si="36"/>
        <v>14.507137740433437</v>
      </c>
      <c r="T190" s="3">
        <f t="shared" si="37"/>
        <v>0.76</v>
      </c>
      <c r="V190">
        <f t="shared" si="44"/>
        <v>183</v>
      </c>
      <c r="W190">
        <f t="shared" si="39"/>
        <v>-0.15285024272230885</v>
      </c>
      <c r="X190">
        <f t="shared" si="39"/>
        <v>0.10543507169458621</v>
      </c>
      <c r="Y190">
        <f t="shared" si="39"/>
        <v>-0.13179381773284149</v>
      </c>
      <c r="Z190">
        <f t="shared" si="40"/>
        <v>-1.201984728126547</v>
      </c>
      <c r="AA190">
        <f t="shared" si="41"/>
        <v>0.77603173080449395</v>
      </c>
      <c r="AB190">
        <f t="shared" si="42"/>
        <v>-0.57859830043267202</v>
      </c>
      <c r="AC190" s="6">
        <f t="shared" si="43"/>
        <v>0.76</v>
      </c>
    </row>
    <row r="191" spans="1:29" x14ac:dyDescent="0.2">
      <c r="A191">
        <v>1993.2</v>
      </c>
      <c r="B191" s="2">
        <v>7497.5140000000001</v>
      </c>
      <c r="C191" s="2">
        <v>88.19</v>
      </c>
      <c r="D191" s="2">
        <v>4446.7</v>
      </c>
      <c r="E191" s="2">
        <v>918.2</v>
      </c>
      <c r="F191" s="2">
        <v>119959.66666666667</v>
      </c>
      <c r="G191" s="2">
        <f t="shared" si="30"/>
        <v>101.01611468061158</v>
      </c>
      <c r="H191" s="2">
        <v>3</v>
      </c>
      <c r="I191" s="2">
        <v>194555.33333333334</v>
      </c>
      <c r="J191" s="2">
        <f t="shared" si="31"/>
        <v>1.0079316424699476</v>
      </c>
      <c r="K191" s="2">
        <v>100.7</v>
      </c>
      <c r="L191" s="2">
        <v>101.8</v>
      </c>
      <c r="N191" s="3">
        <f t="shared" si="32"/>
        <v>391.25235967855303</v>
      </c>
      <c r="O191" s="3">
        <f t="shared" si="33"/>
        <v>233.50213015753698</v>
      </c>
      <c r="P191" s="3">
        <f t="shared" si="34"/>
        <v>891.44264255708538</v>
      </c>
      <c r="Q191" s="3">
        <f t="shared" si="35"/>
        <v>461.43553168042519</v>
      </c>
      <c r="R191" s="3">
        <f t="shared" si="38"/>
        <v>0.54918641473404861</v>
      </c>
      <c r="S191" s="3">
        <f t="shared" si="36"/>
        <v>14.351652621633296</v>
      </c>
      <c r="T191" s="3">
        <f t="shared" si="37"/>
        <v>0.75</v>
      </c>
      <c r="V191">
        <f t="shared" si="44"/>
        <v>184</v>
      </c>
      <c r="W191">
        <f t="shared" si="39"/>
        <v>0.74692784849594318</v>
      </c>
      <c r="X191">
        <f t="shared" si="39"/>
        <v>1.7340610714673517</v>
      </c>
      <c r="Y191">
        <f t="shared" si="39"/>
        <v>0.27416758895458315</v>
      </c>
      <c r="Z191">
        <f t="shared" si="40"/>
        <v>-0.4815354739531017</v>
      </c>
      <c r="AA191">
        <f t="shared" si="41"/>
        <v>0.54918641473404861</v>
      </c>
      <c r="AB191">
        <f t="shared" si="42"/>
        <v>-0.15548511880014182</v>
      </c>
      <c r="AC191" s="6">
        <f t="shared" si="43"/>
        <v>0.75</v>
      </c>
    </row>
    <row r="192" spans="1:29" x14ac:dyDescent="0.2">
      <c r="A192">
        <v>1993.3</v>
      </c>
      <c r="B192" s="2">
        <v>7535.9960000000001</v>
      </c>
      <c r="C192" s="2">
        <v>88.57</v>
      </c>
      <c r="D192" s="2">
        <v>4510.7</v>
      </c>
      <c r="E192" s="2">
        <v>936.8</v>
      </c>
      <c r="F192" s="2">
        <v>120625.66666666667</v>
      </c>
      <c r="G192" s="2">
        <f t="shared" si="30"/>
        <v>101.57694261759001</v>
      </c>
      <c r="H192" s="2">
        <v>3.06</v>
      </c>
      <c r="I192" s="2">
        <v>195068</v>
      </c>
      <c r="J192" s="2">
        <f t="shared" si="31"/>
        <v>1.0105876115791963</v>
      </c>
      <c r="K192" s="2">
        <v>100.6</v>
      </c>
      <c r="L192" s="2">
        <v>102.2</v>
      </c>
      <c r="N192" s="3">
        <f t="shared" si="32"/>
        <v>391.98824759546926</v>
      </c>
      <c r="O192" s="3">
        <f t="shared" si="33"/>
        <v>234.81446571423868</v>
      </c>
      <c r="P192" s="3">
        <f t="shared" si="34"/>
        <v>891.69143301508666</v>
      </c>
      <c r="Q192" s="3">
        <f t="shared" si="35"/>
        <v>461.62666830066439</v>
      </c>
      <c r="R192" s="3">
        <f t="shared" si="38"/>
        <v>0.4299621921401986</v>
      </c>
      <c r="S192" s="3">
        <f t="shared" si="36"/>
        <v>14.313847794811259</v>
      </c>
      <c r="T192" s="3">
        <f t="shared" si="37"/>
        <v>0.76500000000000001</v>
      </c>
      <c r="V192">
        <f t="shared" si="44"/>
        <v>185</v>
      </c>
      <c r="W192">
        <f t="shared" si="39"/>
        <v>0.73588791691622646</v>
      </c>
      <c r="X192">
        <f t="shared" si="39"/>
        <v>1.3123355567016972</v>
      </c>
      <c r="Y192">
        <f t="shared" si="39"/>
        <v>0.24879045800128097</v>
      </c>
      <c r="Z192">
        <f t="shared" si="40"/>
        <v>-0.29039885371389573</v>
      </c>
      <c r="AA192">
        <f t="shared" si="41"/>
        <v>0.4299621921401986</v>
      </c>
      <c r="AB192">
        <f t="shared" si="42"/>
        <v>-3.7804826822036119E-2</v>
      </c>
      <c r="AC192" s="6">
        <f t="shared" si="43"/>
        <v>0.76500000000000001</v>
      </c>
    </row>
    <row r="193" spans="1:29" x14ac:dyDescent="0.2">
      <c r="A193">
        <v>1993.4</v>
      </c>
      <c r="B193" s="2">
        <v>7637.4059999999999</v>
      </c>
      <c r="C193" s="2">
        <v>89.037999999999997</v>
      </c>
      <c r="D193" s="2">
        <v>4574.8999999999996</v>
      </c>
      <c r="E193" s="2">
        <v>979.8</v>
      </c>
      <c r="F193" s="2">
        <v>121152</v>
      </c>
      <c r="G193" s="2">
        <f t="shared" si="30"/>
        <v>102.0201594907076</v>
      </c>
      <c r="H193" s="2">
        <v>2.99</v>
      </c>
      <c r="I193" s="2">
        <v>195621</v>
      </c>
      <c r="J193" s="2">
        <f t="shared" si="31"/>
        <v>1.0134525353452846</v>
      </c>
      <c r="K193" s="2">
        <v>100.7</v>
      </c>
      <c r="L193" s="2">
        <v>102.6</v>
      </c>
      <c r="N193" s="3">
        <f t="shared" si="32"/>
        <v>392.59140212509709</v>
      </c>
      <c r="O193" s="3">
        <f t="shared" si="33"/>
        <v>238.49223709082091</v>
      </c>
      <c r="P193" s="3">
        <f t="shared" si="34"/>
        <v>892.74504423156418</v>
      </c>
      <c r="Q193" s="3">
        <f t="shared" si="35"/>
        <v>461.87831961616757</v>
      </c>
      <c r="R193" s="3">
        <f t="shared" si="38"/>
        <v>0.52700450786131725</v>
      </c>
      <c r="S193" s="3">
        <f t="shared" si="36"/>
        <v>14.177468783656469</v>
      </c>
      <c r="T193" s="3">
        <f t="shared" si="37"/>
        <v>0.74750000000000005</v>
      </c>
      <c r="V193">
        <f t="shared" si="44"/>
        <v>186</v>
      </c>
      <c r="W193">
        <f t="shared" si="39"/>
        <v>0.60315452962782956</v>
      </c>
      <c r="X193">
        <f t="shared" si="39"/>
        <v>3.6777713765822284</v>
      </c>
      <c r="Y193">
        <f t="shared" si="39"/>
        <v>1.0536112164775204</v>
      </c>
      <c r="Z193">
        <f t="shared" si="40"/>
        <v>-3.8747538210714083E-2</v>
      </c>
      <c r="AA193">
        <f t="shared" si="41"/>
        <v>0.52700450786131725</v>
      </c>
      <c r="AB193">
        <f t="shared" si="42"/>
        <v>-0.13637901115479067</v>
      </c>
      <c r="AC193" s="6">
        <f t="shared" si="43"/>
        <v>0.74750000000000005</v>
      </c>
    </row>
    <row r="194" spans="1:29" x14ac:dyDescent="0.2">
      <c r="A194">
        <v>1994.1</v>
      </c>
      <c r="B194" s="2">
        <v>7715.058</v>
      </c>
      <c r="C194" s="2">
        <v>89.578000000000003</v>
      </c>
      <c r="D194" s="2">
        <v>4643.8999999999996</v>
      </c>
      <c r="E194" s="2">
        <v>997.9</v>
      </c>
      <c r="F194" s="2">
        <v>121994</v>
      </c>
      <c r="G194" s="2">
        <f t="shared" si="30"/>
        <v>102.72919420983048</v>
      </c>
      <c r="H194" s="2">
        <v>3.2133333333333334</v>
      </c>
      <c r="I194" s="2">
        <v>196085.33333333334</v>
      </c>
      <c r="J194" s="2">
        <f t="shared" si="31"/>
        <v>1.015858104245924</v>
      </c>
      <c r="K194" s="2">
        <v>100.3</v>
      </c>
      <c r="L194" s="2">
        <v>103.8</v>
      </c>
      <c r="N194" s="3">
        <f t="shared" si="32"/>
        <v>393.24663770796133</v>
      </c>
      <c r="O194" s="3">
        <f t="shared" si="33"/>
        <v>239.4809638545008</v>
      </c>
      <c r="P194" s="3">
        <f t="shared" si="34"/>
        <v>893.51956043639382</v>
      </c>
      <c r="Q194" s="3">
        <f t="shared" si="35"/>
        <v>461.93581741828604</v>
      </c>
      <c r="R194" s="3">
        <f t="shared" si="38"/>
        <v>0.60465092176658075</v>
      </c>
      <c r="S194" s="3">
        <f t="shared" si="36"/>
        <v>14.735621661401787</v>
      </c>
      <c r="T194" s="3">
        <f t="shared" si="37"/>
        <v>0.80333333333333334</v>
      </c>
      <c r="V194">
        <f t="shared" si="44"/>
        <v>187</v>
      </c>
      <c r="W194">
        <f t="shared" si="39"/>
        <v>0.65523558286423622</v>
      </c>
      <c r="X194">
        <f t="shared" si="39"/>
        <v>0.98872676367989243</v>
      </c>
      <c r="Y194">
        <f t="shared" si="39"/>
        <v>0.7745162048296379</v>
      </c>
      <c r="Z194">
        <f t="shared" si="40"/>
        <v>1.8750263907747922E-2</v>
      </c>
      <c r="AA194">
        <f t="shared" si="41"/>
        <v>0.60465092176658075</v>
      </c>
      <c r="AB194">
        <f t="shared" si="42"/>
        <v>0.55815287774531797</v>
      </c>
      <c r="AC194" s="6">
        <f t="shared" si="43"/>
        <v>0.80333333333333334</v>
      </c>
    </row>
    <row r="195" spans="1:29" x14ac:dyDescent="0.2">
      <c r="A195">
        <v>1994.2</v>
      </c>
      <c r="B195" s="2">
        <v>7815.6819999999998</v>
      </c>
      <c r="C195" s="2">
        <v>89.953999999999994</v>
      </c>
      <c r="D195" s="2">
        <v>4702.8</v>
      </c>
      <c r="E195" s="2">
        <v>1025.2</v>
      </c>
      <c r="F195" s="2">
        <v>122596</v>
      </c>
      <c r="G195" s="2">
        <f t="shared" si="30"/>
        <v>103.23612877148366</v>
      </c>
      <c r="H195" s="2">
        <v>3.94</v>
      </c>
      <c r="I195" s="2">
        <v>196522</v>
      </c>
      <c r="J195" s="2">
        <f t="shared" si="31"/>
        <v>1.0181203406133597</v>
      </c>
      <c r="K195" s="2">
        <v>101.1</v>
      </c>
      <c r="L195" s="2">
        <v>103.6</v>
      </c>
      <c r="N195" s="3">
        <f t="shared" si="32"/>
        <v>393.86568025112285</v>
      </c>
      <c r="O195" s="3">
        <f t="shared" si="33"/>
        <v>241.53864420075584</v>
      </c>
      <c r="P195" s="3">
        <f t="shared" si="34"/>
        <v>894.59293831971445</v>
      </c>
      <c r="Q195" s="3">
        <f t="shared" si="35"/>
        <v>463.00006928903281</v>
      </c>
      <c r="R195" s="3">
        <f t="shared" si="38"/>
        <v>0.41886744395762676</v>
      </c>
      <c r="S195" s="3">
        <f t="shared" si="36"/>
        <v>14.123890126803646</v>
      </c>
      <c r="T195" s="3">
        <f t="shared" si="37"/>
        <v>0.98499999999999999</v>
      </c>
      <c r="V195">
        <f t="shared" si="44"/>
        <v>188</v>
      </c>
      <c r="W195">
        <f t="shared" si="39"/>
        <v>0.61904254316152674</v>
      </c>
      <c r="X195">
        <f t="shared" si="39"/>
        <v>2.0576803462550401</v>
      </c>
      <c r="Y195">
        <f t="shared" si="39"/>
        <v>1.0733778833206316</v>
      </c>
      <c r="Z195">
        <f t="shared" si="40"/>
        <v>1.0830021346545209</v>
      </c>
      <c r="AA195">
        <f t="shared" si="41"/>
        <v>0.41886744395762676</v>
      </c>
      <c r="AB195">
        <f t="shared" si="42"/>
        <v>-0.61173153459814067</v>
      </c>
      <c r="AC195" s="6">
        <f t="shared" si="43"/>
        <v>0.98499999999999999</v>
      </c>
    </row>
    <row r="196" spans="1:29" x14ac:dyDescent="0.2">
      <c r="A196">
        <v>1994.3</v>
      </c>
      <c r="B196" s="2">
        <v>7859.4650000000001</v>
      </c>
      <c r="C196" s="2">
        <v>90.53</v>
      </c>
      <c r="D196" s="2">
        <v>4778.6000000000004</v>
      </c>
      <c r="E196" s="2">
        <v>1039.5</v>
      </c>
      <c r="F196" s="2">
        <v>123245</v>
      </c>
      <c r="G196" s="2">
        <f t="shared" si="30"/>
        <v>103.78264128064134</v>
      </c>
      <c r="H196" s="2">
        <v>4.4866666666666672</v>
      </c>
      <c r="I196" s="2">
        <v>197050</v>
      </c>
      <c r="J196" s="2">
        <f t="shared" si="31"/>
        <v>1.0208557470301671</v>
      </c>
      <c r="K196" s="2">
        <v>101.1</v>
      </c>
      <c r="L196" s="2">
        <v>103.5</v>
      </c>
      <c r="N196" s="3">
        <f t="shared" si="32"/>
        <v>394.55803648329317</v>
      </c>
      <c r="O196" s="3">
        <f t="shared" si="33"/>
        <v>242.0172576574569</v>
      </c>
      <c r="P196" s="3">
        <f t="shared" si="34"/>
        <v>894.88325737127354</v>
      </c>
      <c r="Q196" s="3">
        <f t="shared" si="35"/>
        <v>463.25974211853185</v>
      </c>
      <c r="R196" s="3">
        <f t="shared" si="38"/>
        <v>0.63828589300021221</v>
      </c>
      <c r="S196" s="3">
        <f t="shared" si="36"/>
        <v>13.38903252180747</v>
      </c>
      <c r="T196" s="3">
        <f t="shared" si="37"/>
        <v>1.1216666666666668</v>
      </c>
      <c r="V196">
        <f t="shared" si="44"/>
        <v>189</v>
      </c>
      <c r="W196">
        <f t="shared" si="39"/>
        <v>0.69235623217031161</v>
      </c>
      <c r="X196">
        <f t="shared" si="39"/>
        <v>0.47861345670105493</v>
      </c>
      <c r="Y196">
        <f t="shared" si="39"/>
        <v>0.29031905155909499</v>
      </c>
      <c r="Z196">
        <f t="shared" si="40"/>
        <v>1.3426749641535594</v>
      </c>
      <c r="AA196">
        <f t="shared" si="41"/>
        <v>0.63828589300021221</v>
      </c>
      <c r="AB196">
        <f t="shared" si="42"/>
        <v>-0.7348576049961757</v>
      </c>
      <c r="AC196" s="6">
        <f t="shared" si="43"/>
        <v>1.1216666666666668</v>
      </c>
    </row>
    <row r="197" spans="1:29" x14ac:dyDescent="0.2">
      <c r="A197">
        <v>1994.4</v>
      </c>
      <c r="B197" s="2">
        <v>7951.6469999999999</v>
      </c>
      <c r="C197" s="2">
        <v>90.951999999999998</v>
      </c>
      <c r="D197" s="2">
        <v>4847.8999999999996</v>
      </c>
      <c r="E197" s="2">
        <v>1070.4000000000001</v>
      </c>
      <c r="F197" s="2">
        <v>124449.66666666667</v>
      </c>
      <c r="G197" s="2">
        <f t="shared" si="30"/>
        <v>104.797071793274</v>
      </c>
      <c r="H197" s="2">
        <v>5.166666666666667</v>
      </c>
      <c r="I197" s="2">
        <v>197600.66666666666</v>
      </c>
      <c r="J197" s="2">
        <f t="shared" si="31"/>
        <v>1.0237085825103225</v>
      </c>
      <c r="K197" s="2">
        <v>101.1</v>
      </c>
      <c r="L197" s="2">
        <v>104.1</v>
      </c>
      <c r="N197" s="3">
        <f t="shared" si="32"/>
        <v>395.2537106924521</v>
      </c>
      <c r="O197" s="3">
        <f t="shared" si="33"/>
        <v>244.20238958247822</v>
      </c>
      <c r="P197" s="3">
        <f t="shared" si="34"/>
        <v>895.77024572806204</v>
      </c>
      <c r="Q197" s="3">
        <f t="shared" si="35"/>
        <v>463.95338719086715</v>
      </c>
      <c r="R197" s="3">
        <f t="shared" si="38"/>
        <v>0.46506073394567693</v>
      </c>
      <c r="S197" s="3">
        <f t="shared" si="36"/>
        <v>13.502008079411777</v>
      </c>
      <c r="T197" s="3">
        <f t="shared" si="37"/>
        <v>1.2916666666666667</v>
      </c>
      <c r="V197">
        <f t="shared" si="44"/>
        <v>190</v>
      </c>
      <c r="W197">
        <f t="shared" si="39"/>
        <v>0.69567420915893763</v>
      </c>
      <c r="X197">
        <f t="shared" si="39"/>
        <v>2.1851319250213237</v>
      </c>
      <c r="Y197">
        <f t="shared" si="39"/>
        <v>0.88698835678849264</v>
      </c>
      <c r="Z197">
        <f t="shared" si="40"/>
        <v>2.0363200364888598</v>
      </c>
      <c r="AA197">
        <f t="shared" si="41"/>
        <v>0.46506073394567693</v>
      </c>
      <c r="AB197">
        <f t="shared" si="42"/>
        <v>0.11297555760430633</v>
      </c>
      <c r="AC197" s="6">
        <f t="shared" si="43"/>
        <v>1.2916666666666667</v>
      </c>
    </row>
    <row r="198" spans="1:29" x14ac:dyDescent="0.2">
      <c r="A198">
        <v>1995.1</v>
      </c>
      <c r="B198" s="2">
        <v>7973.7349999999997</v>
      </c>
      <c r="C198" s="2">
        <v>91.53</v>
      </c>
      <c r="D198" s="2">
        <v>4879</v>
      </c>
      <c r="E198" s="2">
        <v>1099.4000000000001</v>
      </c>
      <c r="F198" s="2">
        <v>124848.66666666667</v>
      </c>
      <c r="G198" s="2">
        <f t="shared" ref="G198:G238" si="45">F198/F$188*100</f>
        <v>105.13306330506738</v>
      </c>
      <c r="H198" s="2">
        <v>5.81</v>
      </c>
      <c r="I198" s="2">
        <v>197882</v>
      </c>
      <c r="J198" s="2">
        <f t="shared" ref="J198:J238" si="46">I198/I$188</f>
        <v>1.0251660844142274</v>
      </c>
      <c r="K198" s="2">
        <v>101</v>
      </c>
      <c r="L198" s="2">
        <v>104.9</v>
      </c>
      <c r="N198" s="3">
        <f t="shared" ref="N198:N237" si="47">LN((D198/C198)/J198)*100</f>
        <v>395.11741393799434</v>
      </c>
      <c r="O198" s="3">
        <f t="shared" ref="O198:O237" si="48">LN((E198/C198)/J198)*100</f>
        <v>246.09984349906662</v>
      </c>
      <c r="P198" s="3">
        <f t="shared" ref="P198:P237" si="49">LN(B198/J198)*100</f>
        <v>895.90536613425922</v>
      </c>
      <c r="Q198" s="3">
        <f t="shared" ref="Q198:Q237" si="50">LN((K198*G198/100)/J198)*100</f>
        <v>464.03225152352275</v>
      </c>
      <c r="R198" s="3">
        <f t="shared" si="38"/>
        <v>0.6334892569882733</v>
      </c>
      <c r="S198" s="3">
        <f t="shared" ref="S198:S237" si="51">LN(L198/C198)*100</f>
        <v>13.634072800556355</v>
      </c>
      <c r="T198" s="3">
        <f t="shared" ref="T198:T237" si="52">H198/4</f>
        <v>1.4524999999999999</v>
      </c>
      <c r="V198">
        <f t="shared" si="44"/>
        <v>191</v>
      </c>
      <c r="W198">
        <f t="shared" si="39"/>
        <v>-0.13629675445776002</v>
      </c>
      <c r="X198">
        <f t="shared" si="39"/>
        <v>1.8974539165884039</v>
      </c>
      <c r="Y198">
        <f t="shared" si="39"/>
        <v>0.13512040619718846</v>
      </c>
      <c r="Z198">
        <f t="shared" si="40"/>
        <v>2.1151843691444583</v>
      </c>
      <c r="AA198">
        <f t="shared" si="41"/>
        <v>0.6334892569882733</v>
      </c>
      <c r="AB198">
        <f t="shared" si="42"/>
        <v>0.13206472114457846</v>
      </c>
      <c r="AC198" s="6">
        <f t="shared" si="43"/>
        <v>1.4524999999999999</v>
      </c>
    </row>
    <row r="199" spans="1:29" x14ac:dyDescent="0.2">
      <c r="A199">
        <v>1995.2</v>
      </c>
      <c r="B199" s="2">
        <v>7987.97</v>
      </c>
      <c r="C199" s="2">
        <v>91.858999999999995</v>
      </c>
      <c r="D199" s="2">
        <v>4946.7</v>
      </c>
      <c r="E199" s="2">
        <v>1098.9000000000001</v>
      </c>
      <c r="F199" s="2">
        <v>124629.33333333333</v>
      </c>
      <c r="G199" s="2">
        <f t="shared" si="45"/>
        <v>104.94836621671311</v>
      </c>
      <c r="H199" s="2">
        <v>6.02</v>
      </c>
      <c r="I199" s="2">
        <v>198295.33333333334</v>
      </c>
      <c r="J199" s="2">
        <f t="shared" si="46"/>
        <v>1.0273074379223346</v>
      </c>
      <c r="K199" s="2">
        <v>100.8</v>
      </c>
      <c r="L199" s="2">
        <v>105.5</v>
      </c>
      <c r="N199" s="3">
        <f t="shared" si="47"/>
        <v>395.92799323906871</v>
      </c>
      <c r="O199" s="3">
        <f t="shared" si="48"/>
        <v>245.48689242685336</v>
      </c>
      <c r="P199" s="3">
        <f t="shared" si="49"/>
        <v>895.87506974181815</v>
      </c>
      <c r="Q199" s="3">
        <f t="shared" si="50"/>
        <v>463.44954070638209</v>
      </c>
      <c r="R199" s="3">
        <f t="shared" ref="R199:R237" si="53">(LN(C199)-LN(C198))*100</f>
        <v>0.35880053106360776</v>
      </c>
      <c r="S199" s="3">
        <f t="shared" si="51"/>
        <v>13.845616020879723</v>
      </c>
      <c r="T199" s="3">
        <f t="shared" si="52"/>
        <v>1.5049999999999999</v>
      </c>
      <c r="V199">
        <f t="shared" si="44"/>
        <v>192</v>
      </c>
      <c r="W199">
        <f t="shared" si="39"/>
        <v>0.8105793010743696</v>
      </c>
      <c r="X199">
        <f t="shared" si="39"/>
        <v>-0.61295107221326361</v>
      </c>
      <c r="Y199">
        <f t="shared" si="39"/>
        <v>-3.0296392441073294E-2</v>
      </c>
      <c r="Z199">
        <f t="shared" si="40"/>
        <v>1.5324735520038075</v>
      </c>
      <c r="AA199">
        <f t="shared" si="41"/>
        <v>0.35880053106360776</v>
      </c>
      <c r="AB199">
        <f t="shared" si="42"/>
        <v>0.21154322032336736</v>
      </c>
      <c r="AC199" s="6">
        <f t="shared" si="43"/>
        <v>1.5049999999999999</v>
      </c>
    </row>
    <row r="200" spans="1:29" x14ac:dyDescent="0.2">
      <c r="A200">
        <v>1995.3</v>
      </c>
      <c r="B200" s="2">
        <v>8053.0559999999996</v>
      </c>
      <c r="C200" s="2">
        <v>92.289000000000001</v>
      </c>
      <c r="D200" s="2">
        <v>5011</v>
      </c>
      <c r="E200" s="2">
        <v>1115</v>
      </c>
      <c r="F200" s="2">
        <v>124933.66666666667</v>
      </c>
      <c r="G200" s="2">
        <f t="shared" si="45"/>
        <v>105.20464044417123</v>
      </c>
      <c r="H200" s="2">
        <v>5.7966666666666669</v>
      </c>
      <c r="I200" s="2">
        <v>198807</v>
      </c>
      <c r="J200" s="2">
        <f t="shared" si="46"/>
        <v>1.0299582263376119</v>
      </c>
      <c r="K200" s="2">
        <v>101.1</v>
      </c>
      <c r="L200" s="2">
        <v>106.1</v>
      </c>
      <c r="N200" s="3">
        <f t="shared" si="47"/>
        <v>396.49475726857492</v>
      </c>
      <c r="O200" s="3">
        <f t="shared" si="48"/>
        <v>246.21664816202434</v>
      </c>
      <c r="P200" s="3">
        <f t="shared" si="49"/>
        <v>896.42886812362656</v>
      </c>
      <c r="Q200" s="3">
        <f t="shared" si="50"/>
        <v>463.7329105589821</v>
      </c>
      <c r="R200" s="3">
        <f t="shared" si="53"/>
        <v>0.46701651013369982</v>
      </c>
      <c r="S200" s="3">
        <f t="shared" si="51"/>
        <v>13.945708781127578</v>
      </c>
      <c r="T200" s="3">
        <f t="shared" si="52"/>
        <v>1.4491666666666667</v>
      </c>
      <c r="V200">
        <f t="shared" si="44"/>
        <v>193</v>
      </c>
      <c r="W200">
        <f t="shared" ref="W200:Y237" si="54">N200-N199</f>
        <v>0.56676402950620286</v>
      </c>
      <c r="X200">
        <f t="shared" si="54"/>
        <v>0.72975573517098269</v>
      </c>
      <c r="Y200">
        <f t="shared" si="54"/>
        <v>0.55379838180840579</v>
      </c>
      <c r="Z200">
        <f t="shared" ref="Z200:Z237" si="55">Q200-Q$239</f>
        <v>1.815843404603811</v>
      </c>
      <c r="AA200">
        <f t="shared" ref="AA200:AA237" si="56">R200</f>
        <v>0.46701651013369982</v>
      </c>
      <c r="AB200">
        <f t="shared" ref="AB200:AB237" si="57">S200-S199</f>
        <v>0.10009276024785585</v>
      </c>
      <c r="AC200" s="6">
        <f t="shared" ref="AC200:AC237" si="58">T200</f>
        <v>1.4491666666666667</v>
      </c>
    </row>
    <row r="201" spans="1:29" x14ac:dyDescent="0.2">
      <c r="A201">
        <v>1995.4</v>
      </c>
      <c r="B201" s="2">
        <v>8111.9579999999996</v>
      </c>
      <c r="C201" s="2">
        <v>92.733000000000004</v>
      </c>
      <c r="D201" s="2">
        <v>5066.3999999999996</v>
      </c>
      <c r="E201" s="2">
        <v>1138.2</v>
      </c>
      <c r="F201" s="2">
        <v>125221.33333333333</v>
      </c>
      <c r="G201" s="2">
        <f t="shared" si="45"/>
        <v>105.44687993847172</v>
      </c>
      <c r="H201" s="2">
        <v>5.72</v>
      </c>
      <c r="I201" s="2">
        <v>199351.66666666666</v>
      </c>
      <c r="J201" s="2">
        <f t="shared" si="46"/>
        <v>1.0327799776539399</v>
      </c>
      <c r="K201" s="2">
        <v>100.8</v>
      </c>
      <c r="L201" s="2">
        <v>107.1</v>
      </c>
      <c r="N201" s="3">
        <f t="shared" si="47"/>
        <v>396.84072150312261</v>
      </c>
      <c r="O201" s="3">
        <f t="shared" si="48"/>
        <v>247.52247759980293</v>
      </c>
      <c r="P201" s="3">
        <f t="shared" si="49"/>
        <v>896.88403744102413</v>
      </c>
      <c r="Q201" s="3">
        <f t="shared" si="50"/>
        <v>463.39213141779965</v>
      </c>
      <c r="R201" s="3">
        <f t="shared" si="53"/>
        <v>0.47994384698064607</v>
      </c>
      <c r="S201" s="3">
        <f t="shared" si="51"/>
        <v>14.403858117523537</v>
      </c>
      <c r="T201" s="3">
        <f t="shared" si="52"/>
        <v>1.43</v>
      </c>
      <c r="V201">
        <f t="shared" si="44"/>
        <v>194</v>
      </c>
      <c r="W201">
        <f t="shared" si="54"/>
        <v>0.34596423454769365</v>
      </c>
      <c r="X201">
        <f t="shared" si="54"/>
        <v>1.3058294377785842</v>
      </c>
      <c r="Y201">
        <f t="shared" si="54"/>
        <v>0.45516931739757638</v>
      </c>
      <c r="Z201">
        <f t="shared" si="55"/>
        <v>1.4750642634213591</v>
      </c>
      <c r="AA201">
        <f t="shared" si="56"/>
        <v>0.47994384698064607</v>
      </c>
      <c r="AB201">
        <f t="shared" si="57"/>
        <v>0.45814933639595878</v>
      </c>
      <c r="AC201" s="6">
        <f t="shared" si="58"/>
        <v>1.43</v>
      </c>
    </row>
    <row r="202" spans="1:29" x14ac:dyDescent="0.2">
      <c r="A202">
        <v>1996.1</v>
      </c>
      <c r="B202" s="2">
        <v>8169.1909999999998</v>
      </c>
      <c r="C202" s="2">
        <v>93.328000000000003</v>
      </c>
      <c r="D202" s="2">
        <v>5142.8</v>
      </c>
      <c r="E202" s="2">
        <v>1163.2</v>
      </c>
      <c r="F202" s="2">
        <v>125542</v>
      </c>
      <c r="G202" s="2">
        <f t="shared" si="45"/>
        <v>105.71690820442431</v>
      </c>
      <c r="H202" s="2">
        <v>5.3633333333333333</v>
      </c>
      <c r="I202" s="2">
        <v>199775.66666666666</v>
      </c>
      <c r="J202" s="2">
        <f t="shared" si="46"/>
        <v>1.0349765918977398</v>
      </c>
      <c r="K202" s="2">
        <v>100.1</v>
      </c>
      <c r="L202" s="2">
        <v>108.2</v>
      </c>
      <c r="N202" s="3">
        <f t="shared" si="47"/>
        <v>397.48539772611599</v>
      </c>
      <c r="O202" s="3">
        <f t="shared" si="48"/>
        <v>248.84311268303213</v>
      </c>
      <c r="P202" s="3">
        <f t="shared" si="49"/>
        <v>897.37463522056782</v>
      </c>
      <c r="Q202" s="3">
        <f t="shared" si="50"/>
        <v>462.73855345697854</v>
      </c>
      <c r="R202" s="3">
        <f t="shared" si="53"/>
        <v>0.63957737328141917</v>
      </c>
      <c r="S202" s="3">
        <f t="shared" si="51"/>
        <v>14.786119640109934</v>
      </c>
      <c r="T202" s="3">
        <f t="shared" si="52"/>
        <v>1.3408333333333333</v>
      </c>
      <c r="V202">
        <f t="shared" ref="V202:V237" si="59">V201+1</f>
        <v>195</v>
      </c>
      <c r="W202">
        <f t="shared" si="54"/>
        <v>0.64467622299338245</v>
      </c>
      <c r="X202">
        <f t="shared" si="54"/>
        <v>1.320635083229206</v>
      </c>
      <c r="Y202">
        <f t="shared" si="54"/>
        <v>0.4905977795436911</v>
      </c>
      <c r="Z202">
        <f t="shared" si="55"/>
        <v>0.82148630260024902</v>
      </c>
      <c r="AA202">
        <f t="shared" si="56"/>
        <v>0.63957737328141917</v>
      </c>
      <c r="AB202">
        <f t="shared" si="57"/>
        <v>0.38226152258639701</v>
      </c>
      <c r="AC202" s="6">
        <f t="shared" si="58"/>
        <v>1.3408333333333333</v>
      </c>
    </row>
    <row r="203" spans="1:29" x14ac:dyDescent="0.2">
      <c r="A203">
        <v>1996.2</v>
      </c>
      <c r="B203" s="2">
        <v>8303.0939999999991</v>
      </c>
      <c r="C203" s="2">
        <v>93.659000000000006</v>
      </c>
      <c r="D203" s="2">
        <v>5232</v>
      </c>
      <c r="E203" s="2">
        <v>1197.4000000000001</v>
      </c>
      <c r="F203" s="2">
        <v>126280</v>
      </c>
      <c r="G203" s="2">
        <f t="shared" si="45"/>
        <v>106.33836618864365</v>
      </c>
      <c r="H203" s="2">
        <v>5.2433333333333332</v>
      </c>
      <c r="I203" s="2">
        <v>200279.33333333334</v>
      </c>
      <c r="J203" s="2">
        <f t="shared" si="46"/>
        <v>1.0375859347612477</v>
      </c>
      <c r="K203" s="2">
        <v>100.2</v>
      </c>
      <c r="L203" s="2">
        <v>109.2</v>
      </c>
      <c r="N203" s="3">
        <f t="shared" si="47"/>
        <v>398.59915679769938</v>
      </c>
      <c r="O203" s="3">
        <f t="shared" si="48"/>
        <v>251.13504933312112</v>
      </c>
      <c r="P203" s="3">
        <f t="shared" si="49"/>
        <v>898.74866970289963</v>
      </c>
      <c r="Q203" s="3">
        <f t="shared" si="50"/>
        <v>463.17273482088683</v>
      </c>
      <c r="R203" s="3">
        <f t="shared" si="53"/>
        <v>0.35403567706087102</v>
      </c>
      <c r="S203" s="3">
        <f t="shared" si="51"/>
        <v>15.352053652891421</v>
      </c>
      <c r="T203" s="3">
        <f t="shared" si="52"/>
        <v>1.3108333333333333</v>
      </c>
      <c r="V203">
        <f t="shared" si="59"/>
        <v>196</v>
      </c>
      <c r="W203">
        <f t="shared" si="54"/>
        <v>1.113759071583388</v>
      </c>
      <c r="X203">
        <f t="shared" si="54"/>
        <v>2.2919366500889851</v>
      </c>
      <c r="Y203">
        <f t="shared" si="54"/>
        <v>1.3740344823318082</v>
      </c>
      <c r="Z203">
        <f t="shared" si="55"/>
        <v>1.2556676665085433</v>
      </c>
      <c r="AA203">
        <f t="shared" si="56"/>
        <v>0.35403567706087102</v>
      </c>
      <c r="AB203">
        <f t="shared" si="57"/>
        <v>0.56593401278148647</v>
      </c>
      <c r="AC203" s="6">
        <f t="shared" si="58"/>
        <v>1.3108333333333333</v>
      </c>
    </row>
    <row r="204" spans="1:29" x14ac:dyDescent="0.2">
      <c r="A204">
        <v>1996.3</v>
      </c>
      <c r="B204" s="2">
        <v>8372.6970000000001</v>
      </c>
      <c r="C204" s="2">
        <v>93.950999999999993</v>
      </c>
      <c r="D204" s="2">
        <v>5286.4</v>
      </c>
      <c r="E204" s="2">
        <v>1228.8</v>
      </c>
      <c r="F204" s="2">
        <v>127218.33333333333</v>
      </c>
      <c r="G204" s="2">
        <f t="shared" si="45"/>
        <v>107.12852166541758</v>
      </c>
      <c r="H204" s="2">
        <v>5.3066666666666675</v>
      </c>
      <c r="I204" s="2">
        <v>200849.33333333334</v>
      </c>
      <c r="J204" s="2">
        <f t="shared" si="46"/>
        <v>1.0405389303248467</v>
      </c>
      <c r="K204" s="2">
        <v>100.3</v>
      </c>
      <c r="L204" s="2">
        <v>110</v>
      </c>
      <c r="N204" s="3">
        <f t="shared" si="47"/>
        <v>399.03806129559246</v>
      </c>
      <c r="O204" s="3">
        <f t="shared" si="48"/>
        <v>253.12812114627278</v>
      </c>
      <c r="P204" s="3">
        <f t="shared" si="49"/>
        <v>899.29925526350121</v>
      </c>
      <c r="Q204" s="3">
        <f t="shared" si="50"/>
        <v>463.72859785453835</v>
      </c>
      <c r="R204" s="3">
        <f t="shared" si="53"/>
        <v>0.31128429804905267</v>
      </c>
      <c r="S204" s="3">
        <f t="shared" si="51"/>
        <v>15.77069960300355</v>
      </c>
      <c r="T204" s="3">
        <f t="shared" si="52"/>
        <v>1.3266666666666669</v>
      </c>
      <c r="V204">
        <f t="shared" si="59"/>
        <v>197</v>
      </c>
      <c r="W204">
        <f t="shared" si="54"/>
        <v>0.43890449789307695</v>
      </c>
      <c r="X204">
        <f t="shared" si="54"/>
        <v>1.9930718131516585</v>
      </c>
      <c r="Y204">
        <f t="shared" si="54"/>
        <v>0.55058556060157571</v>
      </c>
      <c r="Z204">
        <f t="shared" si="55"/>
        <v>1.8115307001600627</v>
      </c>
      <c r="AA204">
        <f t="shared" si="56"/>
        <v>0.31128429804905267</v>
      </c>
      <c r="AB204">
        <f t="shared" si="57"/>
        <v>0.41864595011212913</v>
      </c>
      <c r="AC204" s="6">
        <f t="shared" si="58"/>
        <v>1.3266666666666669</v>
      </c>
    </row>
    <row r="205" spans="1:29" x14ac:dyDescent="0.2">
      <c r="A205">
        <v>1996.4</v>
      </c>
      <c r="B205" s="2">
        <v>8470.5720000000001</v>
      </c>
      <c r="C205" s="2">
        <v>94.45</v>
      </c>
      <c r="D205" s="2">
        <v>5366.1</v>
      </c>
      <c r="E205" s="2">
        <v>1248.5999999999999</v>
      </c>
      <c r="F205" s="2">
        <v>127840.33333333333</v>
      </c>
      <c r="G205" s="2">
        <f t="shared" si="45"/>
        <v>107.65229790685989</v>
      </c>
      <c r="H205" s="2">
        <v>5.28</v>
      </c>
      <c r="I205" s="2">
        <v>201457.33333333334</v>
      </c>
      <c r="J205" s="2">
        <f t="shared" si="46"/>
        <v>1.0436887922593525</v>
      </c>
      <c r="K205" s="2">
        <v>100.7</v>
      </c>
      <c r="L205" s="2">
        <v>110.5</v>
      </c>
      <c r="N205" s="3">
        <f t="shared" si="47"/>
        <v>399.70247194031094</v>
      </c>
      <c r="O205" s="3">
        <f t="shared" si="48"/>
        <v>253.89462553634431</v>
      </c>
      <c r="P205" s="3">
        <f t="shared" si="49"/>
        <v>900.15919645167367</v>
      </c>
      <c r="Q205" s="3">
        <f t="shared" si="50"/>
        <v>464.31208300948111</v>
      </c>
      <c r="R205" s="3">
        <f t="shared" si="53"/>
        <v>0.52972241851376722</v>
      </c>
      <c r="S205" s="3">
        <f t="shared" si="51"/>
        <v>15.694492701028901</v>
      </c>
      <c r="T205" s="3">
        <f t="shared" si="52"/>
        <v>1.32</v>
      </c>
      <c r="V205">
        <f t="shared" si="59"/>
        <v>198</v>
      </c>
      <c r="W205">
        <f t="shared" si="54"/>
        <v>0.66441064471848676</v>
      </c>
      <c r="X205">
        <f t="shared" si="54"/>
        <v>0.76650439007153182</v>
      </c>
      <c r="Y205">
        <f t="shared" si="54"/>
        <v>0.85994118817245635</v>
      </c>
      <c r="Z205">
        <f t="shared" si="55"/>
        <v>2.3950158551028267</v>
      </c>
      <c r="AA205">
        <f t="shared" si="56"/>
        <v>0.52972241851376722</v>
      </c>
      <c r="AB205">
        <f t="shared" si="57"/>
        <v>-7.6206901974648744E-2</v>
      </c>
      <c r="AC205" s="6">
        <f t="shared" si="58"/>
        <v>1.32</v>
      </c>
    </row>
    <row r="206" spans="1:29" x14ac:dyDescent="0.2">
      <c r="A206">
        <v>1997.1</v>
      </c>
      <c r="B206" s="2">
        <v>8536.0509999999995</v>
      </c>
      <c r="C206" s="2">
        <v>95.054000000000002</v>
      </c>
      <c r="D206" s="2">
        <v>5448.8</v>
      </c>
      <c r="E206" s="2">
        <v>1271</v>
      </c>
      <c r="F206" s="2">
        <v>128495.66666666667</v>
      </c>
      <c r="G206" s="2">
        <f t="shared" si="45"/>
        <v>108.20414361461745</v>
      </c>
      <c r="H206" s="2">
        <v>5.2766666666666673</v>
      </c>
      <c r="I206" s="2">
        <v>202395.33333333334</v>
      </c>
      <c r="J206" s="2">
        <f t="shared" si="46"/>
        <v>1.0485482832043629</v>
      </c>
      <c r="K206" s="2">
        <v>101</v>
      </c>
      <c r="L206" s="2">
        <v>111.2</v>
      </c>
      <c r="N206" s="3">
        <f t="shared" si="47"/>
        <v>400.12989086748422</v>
      </c>
      <c r="O206" s="3">
        <f t="shared" si="48"/>
        <v>254.57074999371875</v>
      </c>
      <c r="P206" s="3">
        <f t="shared" si="49"/>
        <v>900.46471475700014</v>
      </c>
      <c r="Q206" s="3">
        <f t="shared" si="50"/>
        <v>464.65633723268434</v>
      </c>
      <c r="R206" s="3">
        <f t="shared" si="53"/>
        <v>0.63745572156008734</v>
      </c>
      <c r="S206" s="3">
        <f t="shared" si="51"/>
        <v>15.688523065336277</v>
      </c>
      <c r="T206" s="3">
        <f t="shared" si="52"/>
        <v>1.3191666666666668</v>
      </c>
      <c r="V206">
        <f t="shared" si="59"/>
        <v>199</v>
      </c>
      <c r="W206">
        <f t="shared" si="54"/>
        <v>0.42741892717327801</v>
      </c>
      <c r="X206">
        <f t="shared" si="54"/>
        <v>0.67612445737444204</v>
      </c>
      <c r="Y206">
        <f t="shared" si="54"/>
        <v>0.30551830532647273</v>
      </c>
      <c r="Z206">
        <f t="shared" si="55"/>
        <v>2.7392700783060491</v>
      </c>
      <c r="AA206">
        <f t="shared" si="56"/>
        <v>0.63745572156008734</v>
      </c>
      <c r="AB206">
        <f t="shared" si="57"/>
        <v>-5.9696356926242089E-3</v>
      </c>
      <c r="AC206" s="6">
        <f t="shared" si="58"/>
        <v>1.3191666666666668</v>
      </c>
    </row>
    <row r="207" spans="1:29" x14ac:dyDescent="0.2">
      <c r="A207">
        <v>1997.2</v>
      </c>
      <c r="B207" s="2">
        <v>8665.8310000000001</v>
      </c>
      <c r="C207" s="2">
        <v>95.206000000000003</v>
      </c>
      <c r="D207" s="2">
        <v>5484.6</v>
      </c>
      <c r="E207" s="2">
        <v>1296.8</v>
      </c>
      <c r="F207" s="2">
        <v>129339.66666666667</v>
      </c>
      <c r="G207" s="2">
        <f t="shared" si="45"/>
        <v>108.91486250171927</v>
      </c>
      <c r="H207" s="2">
        <v>5.5233333333333334</v>
      </c>
      <c r="I207" s="2">
        <v>202835.33333333334</v>
      </c>
      <c r="J207" s="2">
        <f t="shared" si="46"/>
        <v>1.0508277885517026</v>
      </c>
      <c r="K207" s="2">
        <v>100.9</v>
      </c>
      <c r="L207" s="2">
        <v>112</v>
      </c>
      <c r="N207" s="3">
        <f t="shared" si="47"/>
        <v>400.40782552481897</v>
      </c>
      <c r="O207" s="3">
        <f t="shared" si="48"/>
        <v>256.20337817818279</v>
      </c>
      <c r="P207" s="3">
        <f t="shared" si="49"/>
        <v>901.75648769913414</v>
      </c>
      <c r="Q207" s="3">
        <f t="shared" si="50"/>
        <v>464.99480168161693</v>
      </c>
      <c r="R207" s="3">
        <f t="shared" si="53"/>
        <v>0.15978138582788404</v>
      </c>
      <c r="S207" s="3">
        <f t="shared" si="51"/>
        <v>16.245590627369591</v>
      </c>
      <c r="T207" s="3">
        <f t="shared" si="52"/>
        <v>1.3808333333333334</v>
      </c>
      <c r="V207">
        <f t="shared" si="59"/>
        <v>200</v>
      </c>
      <c r="W207">
        <f t="shared" si="54"/>
        <v>0.27793465733475387</v>
      </c>
      <c r="X207">
        <f t="shared" si="54"/>
        <v>1.6326281844640391</v>
      </c>
      <c r="Y207">
        <f t="shared" si="54"/>
        <v>1.2917729421340027</v>
      </c>
      <c r="Z207">
        <f t="shared" si="55"/>
        <v>3.0777345272386469</v>
      </c>
      <c r="AA207">
        <f t="shared" si="56"/>
        <v>0.15978138582788404</v>
      </c>
      <c r="AB207">
        <f t="shared" si="57"/>
        <v>0.55706756203331409</v>
      </c>
      <c r="AC207" s="6">
        <f t="shared" si="58"/>
        <v>1.3808333333333334</v>
      </c>
    </row>
    <row r="208" spans="1:29" x14ac:dyDescent="0.2">
      <c r="A208">
        <v>1997.3</v>
      </c>
      <c r="B208" s="2">
        <v>8773.7199999999993</v>
      </c>
      <c r="C208" s="2">
        <v>95.534000000000006</v>
      </c>
      <c r="D208" s="2">
        <v>5589.8</v>
      </c>
      <c r="E208" s="2">
        <v>1347</v>
      </c>
      <c r="F208" s="2">
        <v>129950.33333333333</v>
      </c>
      <c r="G208" s="2">
        <f t="shared" si="45"/>
        <v>109.42909512461438</v>
      </c>
      <c r="H208" s="2">
        <v>5.5333333333333323</v>
      </c>
      <c r="I208" s="2">
        <v>203366.66666666666</v>
      </c>
      <c r="J208" s="2">
        <f t="shared" si="46"/>
        <v>1.0535804639484141</v>
      </c>
      <c r="K208" s="2">
        <v>101.1</v>
      </c>
      <c r="L208" s="2">
        <v>113.1</v>
      </c>
      <c r="N208" s="3">
        <f t="shared" si="47"/>
        <v>401.70222531802688</v>
      </c>
      <c r="O208" s="3">
        <f t="shared" si="48"/>
        <v>259.39586422568544</v>
      </c>
      <c r="P208" s="3">
        <f t="shared" si="49"/>
        <v>902.73218396634536</v>
      </c>
      <c r="Q208" s="3">
        <f t="shared" si="50"/>
        <v>465.40224173614007</v>
      </c>
      <c r="R208" s="3">
        <f t="shared" si="53"/>
        <v>0.34392400472764706</v>
      </c>
      <c r="S208" s="3">
        <f t="shared" si="51"/>
        <v>16.879017805339942</v>
      </c>
      <c r="T208" s="3">
        <f t="shared" si="52"/>
        <v>1.3833333333333331</v>
      </c>
      <c r="V208">
        <f t="shared" si="59"/>
        <v>201</v>
      </c>
      <c r="W208">
        <f t="shared" si="54"/>
        <v>1.2943997932079014</v>
      </c>
      <c r="X208">
        <f t="shared" si="54"/>
        <v>3.1924860475026549</v>
      </c>
      <c r="Y208">
        <f t="shared" si="54"/>
        <v>0.97569626721121949</v>
      </c>
      <c r="Z208">
        <f t="shared" si="55"/>
        <v>3.4851745817617825</v>
      </c>
      <c r="AA208">
        <f t="shared" si="56"/>
        <v>0.34392400472764706</v>
      </c>
      <c r="AB208">
        <f t="shared" si="57"/>
        <v>0.63342717797035064</v>
      </c>
      <c r="AC208" s="6">
        <f t="shared" si="58"/>
        <v>1.3833333333333331</v>
      </c>
    </row>
    <row r="209" spans="1:29" x14ac:dyDescent="0.2">
      <c r="A209">
        <v>1997.4</v>
      </c>
      <c r="B209" s="2">
        <v>8838.4140000000007</v>
      </c>
      <c r="C209" s="2">
        <v>95.846000000000004</v>
      </c>
      <c r="D209" s="2">
        <v>5666.4</v>
      </c>
      <c r="E209" s="2">
        <v>1356.4</v>
      </c>
      <c r="F209" s="2">
        <v>130503.66666666667</v>
      </c>
      <c r="G209" s="2">
        <f t="shared" si="45"/>
        <v>109.89504826544734</v>
      </c>
      <c r="H209" s="2">
        <v>5.5066666666666668</v>
      </c>
      <c r="I209" s="2">
        <v>203935.33333333334</v>
      </c>
      <c r="J209" s="2">
        <f t="shared" si="46"/>
        <v>1.0565265519200515</v>
      </c>
      <c r="K209" s="2">
        <v>100.9</v>
      </c>
      <c r="L209" s="2">
        <v>115.1</v>
      </c>
      <c r="N209" s="3">
        <f t="shared" si="47"/>
        <v>402.45798479690234</v>
      </c>
      <c r="O209" s="3">
        <f t="shared" si="48"/>
        <v>259.4859983781094</v>
      </c>
      <c r="P209" s="3">
        <f t="shared" si="49"/>
        <v>903.18760380485139</v>
      </c>
      <c r="Q209" s="3">
        <f t="shared" si="50"/>
        <v>465.34988553143864</v>
      </c>
      <c r="R209" s="3">
        <f t="shared" si="53"/>
        <v>0.32605316794622752</v>
      </c>
      <c r="S209" s="3">
        <f t="shared" si="51"/>
        <v>18.305857897970004</v>
      </c>
      <c r="T209" s="3">
        <f t="shared" si="52"/>
        <v>1.3766666666666667</v>
      </c>
      <c r="V209">
        <f t="shared" si="59"/>
        <v>202</v>
      </c>
      <c r="W209">
        <f t="shared" si="54"/>
        <v>0.75575947887546135</v>
      </c>
      <c r="X209">
        <f t="shared" si="54"/>
        <v>9.0134152423956948E-2</v>
      </c>
      <c r="Y209">
        <f t="shared" si="54"/>
        <v>0.45541983850603174</v>
      </c>
      <c r="Z209">
        <f t="shared" si="55"/>
        <v>3.4328183770603573</v>
      </c>
      <c r="AA209">
        <f t="shared" si="56"/>
        <v>0.32605316794622752</v>
      </c>
      <c r="AB209">
        <f t="shared" si="57"/>
        <v>1.4268400926300622</v>
      </c>
      <c r="AC209" s="6">
        <f t="shared" si="58"/>
        <v>1.3766666666666667</v>
      </c>
    </row>
    <row r="210" spans="1:29" x14ac:dyDescent="0.2">
      <c r="A210">
        <v>1998.1</v>
      </c>
      <c r="B210" s="2">
        <v>8936.1910000000007</v>
      </c>
      <c r="C210" s="2">
        <v>96.088999999999999</v>
      </c>
      <c r="D210" s="2">
        <v>5733.4</v>
      </c>
      <c r="E210" s="2">
        <v>1390</v>
      </c>
      <c r="F210" s="2">
        <v>130782.33333333333</v>
      </c>
      <c r="G210" s="2">
        <f t="shared" si="45"/>
        <v>110.12970900384272</v>
      </c>
      <c r="H210" s="2">
        <v>5.52</v>
      </c>
      <c r="I210" s="2">
        <v>204394.66666666666</v>
      </c>
      <c r="J210" s="2">
        <f t="shared" si="46"/>
        <v>1.0589062173508348</v>
      </c>
      <c r="K210" s="2">
        <v>101</v>
      </c>
      <c r="L210" s="2">
        <v>117.2</v>
      </c>
      <c r="N210" s="3">
        <f t="shared" si="47"/>
        <v>403.15526516925371</v>
      </c>
      <c r="O210" s="3">
        <f t="shared" si="48"/>
        <v>261.45476758444659</v>
      </c>
      <c r="P210" s="3">
        <f t="shared" si="49"/>
        <v>904.06282097818269</v>
      </c>
      <c r="Q210" s="3">
        <f t="shared" si="50"/>
        <v>465.43726697741977</v>
      </c>
      <c r="R210" s="3">
        <f t="shared" si="53"/>
        <v>0.25321085766982776</v>
      </c>
      <c r="S210" s="3">
        <f t="shared" si="51"/>
        <v>19.860703181807644</v>
      </c>
      <c r="T210" s="3">
        <f t="shared" si="52"/>
        <v>1.38</v>
      </c>
      <c r="V210">
        <f t="shared" si="59"/>
        <v>203</v>
      </c>
      <c r="W210">
        <f t="shared" si="54"/>
        <v>0.69728037235137208</v>
      </c>
      <c r="X210">
        <f t="shared" si="54"/>
        <v>1.9687692063371856</v>
      </c>
      <c r="Y210">
        <f t="shared" si="54"/>
        <v>0.87521717333129345</v>
      </c>
      <c r="Z210">
        <f t="shared" si="55"/>
        <v>3.5201998230414802</v>
      </c>
      <c r="AA210">
        <f t="shared" si="56"/>
        <v>0.25321085766982776</v>
      </c>
      <c r="AB210">
        <f t="shared" si="57"/>
        <v>1.5548452838376399</v>
      </c>
      <c r="AC210" s="6">
        <f t="shared" si="58"/>
        <v>1.38</v>
      </c>
    </row>
    <row r="211" spans="1:29" x14ac:dyDescent="0.2">
      <c r="A211">
        <v>1998.2</v>
      </c>
      <c r="B211" s="2">
        <v>8995.2890000000007</v>
      </c>
      <c r="C211" s="2">
        <v>96.248999999999995</v>
      </c>
      <c r="D211" s="2">
        <v>5834.2</v>
      </c>
      <c r="E211" s="2">
        <v>1427.7</v>
      </c>
      <c r="F211" s="2">
        <v>131259.33333333334</v>
      </c>
      <c r="G211" s="2">
        <f t="shared" si="45"/>
        <v>110.53138306681376</v>
      </c>
      <c r="H211" s="2">
        <v>5.5</v>
      </c>
      <c r="I211" s="2">
        <v>204905</v>
      </c>
      <c r="J211" s="2">
        <f t="shared" si="46"/>
        <v>1.0615500981741508</v>
      </c>
      <c r="K211" s="2">
        <v>100.7</v>
      </c>
      <c r="L211" s="2">
        <v>118.9</v>
      </c>
      <c r="N211" s="3">
        <f t="shared" si="47"/>
        <v>404.48236514432415</v>
      </c>
      <c r="O211" s="3">
        <f t="shared" si="48"/>
        <v>263.71512566019902</v>
      </c>
      <c r="P211" s="3">
        <f t="shared" si="49"/>
        <v>904.47260781393902</v>
      </c>
      <c r="Q211" s="3">
        <f t="shared" si="50"/>
        <v>465.25449073358959</v>
      </c>
      <c r="R211" s="3">
        <f t="shared" si="53"/>
        <v>0.16637381786956951</v>
      </c>
      <c r="S211" s="3">
        <f t="shared" si="51"/>
        <v>21.134422019320464</v>
      </c>
      <c r="T211" s="3">
        <f t="shared" si="52"/>
        <v>1.375</v>
      </c>
      <c r="V211">
        <f t="shared" si="59"/>
        <v>204</v>
      </c>
      <c r="W211">
        <f t="shared" si="54"/>
        <v>1.3270999750704391</v>
      </c>
      <c r="X211">
        <f t="shared" si="54"/>
        <v>2.2603580757524355</v>
      </c>
      <c r="Y211">
        <f t="shared" si="54"/>
        <v>0.40978683575633568</v>
      </c>
      <c r="Z211">
        <f t="shared" si="55"/>
        <v>3.3374235792113041</v>
      </c>
      <c r="AA211">
        <f t="shared" si="56"/>
        <v>0.16637381786956951</v>
      </c>
      <c r="AB211">
        <f t="shared" si="57"/>
        <v>1.2737188375128206</v>
      </c>
      <c r="AC211" s="6">
        <f t="shared" si="58"/>
        <v>1.375</v>
      </c>
    </row>
    <row r="212" spans="1:29" x14ac:dyDescent="0.2">
      <c r="A212">
        <v>1998.3</v>
      </c>
      <c r="B212" s="2">
        <v>9098.8580000000002</v>
      </c>
      <c r="C212" s="2">
        <v>96.6</v>
      </c>
      <c r="D212" s="2">
        <v>5924.2</v>
      </c>
      <c r="E212" s="2">
        <v>1447.1</v>
      </c>
      <c r="F212" s="2">
        <v>131568.33333333334</v>
      </c>
      <c r="G212" s="2">
        <f t="shared" si="45"/>
        <v>110.791587019556</v>
      </c>
      <c r="H212" s="2">
        <v>5.5333333333333341</v>
      </c>
      <c r="I212" s="2">
        <v>205482.66666666666</v>
      </c>
      <c r="J212" s="2">
        <f t="shared" si="46"/>
        <v>1.064542812391529</v>
      </c>
      <c r="K212" s="2">
        <v>100.4</v>
      </c>
      <c r="L212" s="2">
        <v>120.7</v>
      </c>
      <c r="N212" s="3">
        <f t="shared" si="47"/>
        <v>405.36767717184796</v>
      </c>
      <c r="O212" s="3">
        <f t="shared" si="48"/>
        <v>264.41926686723104</v>
      </c>
      <c r="P212" s="3">
        <f t="shared" si="49"/>
        <v>905.33587672711883</v>
      </c>
      <c r="Q212" s="3">
        <f t="shared" si="50"/>
        <v>464.9097440420382</v>
      </c>
      <c r="R212" s="3">
        <f t="shared" si="53"/>
        <v>0.36401577149414166</v>
      </c>
      <c r="S212" s="3">
        <f t="shared" si="51"/>
        <v>22.272938688501362</v>
      </c>
      <c r="T212" s="3">
        <f t="shared" si="52"/>
        <v>1.3833333333333335</v>
      </c>
      <c r="V212">
        <f t="shared" si="59"/>
        <v>205</v>
      </c>
      <c r="W212">
        <f t="shared" si="54"/>
        <v>0.88531202752380977</v>
      </c>
      <c r="X212">
        <f t="shared" si="54"/>
        <v>0.70414120703202343</v>
      </c>
      <c r="Y212">
        <f t="shared" si="54"/>
        <v>0.86326891317980881</v>
      </c>
      <c r="Z212">
        <f t="shared" si="55"/>
        <v>2.9926768876599112</v>
      </c>
      <c r="AA212">
        <f t="shared" si="56"/>
        <v>0.36401577149414166</v>
      </c>
      <c r="AB212">
        <f t="shared" si="57"/>
        <v>1.1385166691808983</v>
      </c>
      <c r="AC212" s="6">
        <f t="shared" si="58"/>
        <v>1.3833333333333335</v>
      </c>
    </row>
    <row r="213" spans="1:29" x14ac:dyDescent="0.2">
      <c r="A213">
        <v>1998.4</v>
      </c>
      <c r="B213" s="2">
        <v>9237.0810000000001</v>
      </c>
      <c r="C213" s="2">
        <v>96.933999999999997</v>
      </c>
      <c r="D213" s="2">
        <v>6026.2</v>
      </c>
      <c r="E213" s="2">
        <v>1488.7</v>
      </c>
      <c r="F213" s="2">
        <v>132293.66666666666</v>
      </c>
      <c r="G213" s="2">
        <f t="shared" si="45"/>
        <v>111.40237860657554</v>
      </c>
      <c r="H213" s="2">
        <v>4.8600000000000003</v>
      </c>
      <c r="I213" s="2">
        <v>206097.66666666666</v>
      </c>
      <c r="J213" s="2">
        <f t="shared" si="46"/>
        <v>1.0677289391838334</v>
      </c>
      <c r="K213" s="2">
        <v>101.3</v>
      </c>
      <c r="L213" s="2">
        <v>121.4</v>
      </c>
      <c r="N213" s="3">
        <f t="shared" si="47"/>
        <v>406.43076680424753</v>
      </c>
      <c r="O213" s="3">
        <f t="shared" si="48"/>
        <v>266.60942942738853</v>
      </c>
      <c r="P213" s="3">
        <f t="shared" si="49"/>
        <v>906.54472995726019</v>
      </c>
      <c r="Q213" s="3">
        <f t="shared" si="50"/>
        <v>466.05309984134749</v>
      </c>
      <c r="R213" s="3">
        <f t="shared" si="53"/>
        <v>0.34515933282239786</v>
      </c>
      <c r="S213" s="3">
        <f t="shared" si="51"/>
        <v>22.506054407870167</v>
      </c>
      <c r="T213" s="3">
        <f t="shared" si="52"/>
        <v>1.2150000000000001</v>
      </c>
      <c r="V213">
        <f t="shared" si="59"/>
        <v>206</v>
      </c>
      <c r="W213">
        <f t="shared" si="54"/>
        <v>1.0630896323995671</v>
      </c>
      <c r="X213">
        <f t="shared" si="54"/>
        <v>2.1901625601574892</v>
      </c>
      <c r="Y213">
        <f t="shared" si="54"/>
        <v>1.2088532301413579</v>
      </c>
      <c r="Z213">
        <f t="shared" si="55"/>
        <v>4.1360326869692017</v>
      </c>
      <c r="AA213">
        <f t="shared" si="56"/>
        <v>0.34515933282239786</v>
      </c>
      <c r="AB213">
        <f t="shared" si="57"/>
        <v>0.23311571936880426</v>
      </c>
      <c r="AC213" s="6">
        <f t="shared" si="58"/>
        <v>1.2150000000000001</v>
      </c>
    </row>
    <row r="214" spans="1:29" x14ac:dyDescent="0.2">
      <c r="A214">
        <v>1999.1</v>
      </c>
      <c r="B214" s="2">
        <v>9315.518</v>
      </c>
      <c r="C214" s="2">
        <v>97.328000000000003</v>
      </c>
      <c r="D214" s="2">
        <v>6101.7</v>
      </c>
      <c r="E214" s="2">
        <v>1514.6</v>
      </c>
      <c r="F214" s="2">
        <v>132943.33333333334</v>
      </c>
      <c r="G214" s="2">
        <f t="shared" si="45"/>
        <v>111.94945250505953</v>
      </c>
      <c r="H214" s="2">
        <v>4.7333333333333334</v>
      </c>
      <c r="I214" s="2">
        <v>206876</v>
      </c>
      <c r="J214" s="2">
        <f t="shared" si="46"/>
        <v>1.0717612459914381</v>
      </c>
      <c r="K214" s="2">
        <v>101</v>
      </c>
      <c r="L214" s="2">
        <v>123.6</v>
      </c>
      <c r="N214" s="3">
        <f t="shared" si="47"/>
        <v>406.89326627295702</v>
      </c>
      <c r="O214" s="3">
        <f t="shared" si="48"/>
        <v>267.55166195497333</v>
      </c>
      <c r="P214" s="3">
        <f t="shared" si="49"/>
        <v>907.01335711703348</v>
      </c>
      <c r="Q214" s="3">
        <f t="shared" si="50"/>
        <v>465.86944638033788</v>
      </c>
      <c r="R214" s="3">
        <f t="shared" si="53"/>
        <v>0.40563830316528993</v>
      </c>
      <c r="S214" s="3">
        <f t="shared" si="51"/>
        <v>23.896382744524068</v>
      </c>
      <c r="T214" s="3">
        <f t="shared" si="52"/>
        <v>1.1833333333333333</v>
      </c>
      <c r="V214">
        <f t="shared" si="59"/>
        <v>207</v>
      </c>
      <c r="W214">
        <f t="shared" si="54"/>
        <v>0.46249946870949543</v>
      </c>
      <c r="X214">
        <f t="shared" si="54"/>
        <v>0.94223252758479248</v>
      </c>
      <c r="Y214">
        <f t="shared" si="54"/>
        <v>0.46862715977329117</v>
      </c>
      <c r="Z214">
        <f t="shared" si="55"/>
        <v>3.9523792259595893</v>
      </c>
      <c r="AA214">
        <f t="shared" si="56"/>
        <v>0.40563830316528993</v>
      </c>
      <c r="AB214">
        <f t="shared" si="57"/>
        <v>1.3903283366539014</v>
      </c>
      <c r="AC214" s="6">
        <f t="shared" si="58"/>
        <v>1.1833333333333333</v>
      </c>
    </row>
    <row r="215" spans="1:29" x14ac:dyDescent="0.2">
      <c r="A215">
        <v>1999.2</v>
      </c>
      <c r="B215" s="2">
        <v>9392.5810000000001</v>
      </c>
      <c r="C215" s="2">
        <v>97.674000000000007</v>
      </c>
      <c r="D215" s="2">
        <v>6237.2</v>
      </c>
      <c r="E215" s="2">
        <v>1551.7</v>
      </c>
      <c r="F215" s="2">
        <v>133214.66666666666</v>
      </c>
      <c r="G215" s="2">
        <f t="shared" si="45"/>
        <v>112.17793796086555</v>
      </c>
      <c r="H215" s="2">
        <v>4.746666666666667</v>
      </c>
      <c r="I215" s="2">
        <v>207431.66666666666</v>
      </c>
      <c r="J215" s="2">
        <f t="shared" si="46"/>
        <v>1.0746399849414494</v>
      </c>
      <c r="K215" s="2">
        <v>101.1</v>
      </c>
      <c r="L215" s="2">
        <v>124</v>
      </c>
      <c r="N215" s="3">
        <f t="shared" si="47"/>
        <v>408.46655320963282</v>
      </c>
      <c r="O215" s="3">
        <f t="shared" si="48"/>
        <v>269.34852724750368</v>
      </c>
      <c r="P215" s="3">
        <f t="shared" si="49"/>
        <v>907.56896935530142</v>
      </c>
      <c r="Q215" s="3">
        <f t="shared" si="50"/>
        <v>465.90405746676396</v>
      </c>
      <c r="R215" s="3">
        <f t="shared" si="53"/>
        <v>0.35486852760779897</v>
      </c>
      <c r="S215" s="3">
        <f t="shared" si="51"/>
        <v>23.8646162750609</v>
      </c>
      <c r="T215" s="3">
        <f t="shared" si="52"/>
        <v>1.1866666666666668</v>
      </c>
      <c r="V215">
        <f t="shared" si="59"/>
        <v>208</v>
      </c>
      <c r="W215">
        <f t="shared" si="54"/>
        <v>1.5732869366757996</v>
      </c>
      <c r="X215">
        <f t="shared" si="54"/>
        <v>1.7968652925303559</v>
      </c>
      <c r="Y215">
        <f t="shared" si="54"/>
        <v>0.55561223826794048</v>
      </c>
      <c r="Z215">
        <f t="shared" si="55"/>
        <v>3.9869903123856716</v>
      </c>
      <c r="AA215">
        <f t="shared" si="56"/>
        <v>0.35486852760779897</v>
      </c>
      <c r="AB215">
        <f t="shared" si="57"/>
        <v>-3.1766469463168079E-2</v>
      </c>
      <c r="AC215" s="6">
        <f t="shared" si="58"/>
        <v>1.1866666666666668</v>
      </c>
    </row>
    <row r="216" spans="1:29" x14ac:dyDescent="0.2">
      <c r="A216">
        <v>1999.3</v>
      </c>
      <c r="B216" s="2">
        <v>9502.2369999999992</v>
      </c>
      <c r="C216" s="2">
        <v>98.013000000000005</v>
      </c>
      <c r="D216" s="2">
        <v>6337.2</v>
      </c>
      <c r="E216" s="2">
        <v>1579.2</v>
      </c>
      <c r="F216" s="2">
        <v>133570.66666666666</v>
      </c>
      <c r="G216" s="2">
        <f t="shared" si="45"/>
        <v>112.47771986111228</v>
      </c>
      <c r="H216" s="2">
        <v>5.0933333333333337</v>
      </c>
      <c r="I216" s="2">
        <v>208043.66666666666</v>
      </c>
      <c r="J216" s="2">
        <f t="shared" si="46"/>
        <v>1.0778105696518401</v>
      </c>
      <c r="K216" s="2">
        <v>101.2</v>
      </c>
      <c r="L216" s="2">
        <v>125.1</v>
      </c>
      <c r="N216" s="3">
        <f t="shared" si="47"/>
        <v>409.41604534062969</v>
      </c>
      <c r="O216" s="3">
        <f t="shared" si="48"/>
        <v>270.46418125846259</v>
      </c>
      <c r="P216" s="3">
        <f t="shared" si="49"/>
        <v>908.43507903928321</v>
      </c>
      <c r="Q216" s="3">
        <f t="shared" si="50"/>
        <v>465.97519940566781</v>
      </c>
      <c r="R216" s="3">
        <f t="shared" si="53"/>
        <v>0.3464720079729311</v>
      </c>
      <c r="S216" s="3">
        <f t="shared" si="51"/>
        <v>24.401329453870826</v>
      </c>
      <c r="T216" s="3">
        <f t="shared" si="52"/>
        <v>1.2733333333333334</v>
      </c>
      <c r="V216">
        <f t="shared" si="59"/>
        <v>209</v>
      </c>
      <c r="W216">
        <f t="shared" si="54"/>
        <v>0.94949213099687313</v>
      </c>
      <c r="X216">
        <f t="shared" si="54"/>
        <v>1.1156540109589059</v>
      </c>
      <c r="Y216">
        <f t="shared" si="54"/>
        <v>0.86610968398179011</v>
      </c>
      <c r="Z216">
        <f t="shared" si="55"/>
        <v>4.0581322512895213</v>
      </c>
      <c r="AA216">
        <f t="shared" si="56"/>
        <v>0.3464720079729311</v>
      </c>
      <c r="AB216">
        <f t="shared" si="57"/>
        <v>0.53671317880992575</v>
      </c>
      <c r="AC216" s="6">
        <f t="shared" si="58"/>
        <v>1.2733333333333334</v>
      </c>
    </row>
    <row r="217" spans="1:29" x14ac:dyDescent="0.2">
      <c r="A217">
        <v>1999.4</v>
      </c>
      <c r="B217" s="2">
        <v>9671.0889999999999</v>
      </c>
      <c r="C217" s="2">
        <v>98.432000000000002</v>
      </c>
      <c r="D217" s="2">
        <v>6453.7</v>
      </c>
      <c r="E217" s="2">
        <v>1589.5</v>
      </c>
      <c r="F217" s="2">
        <v>134275</v>
      </c>
      <c r="G217" s="2">
        <f t="shared" si="45"/>
        <v>113.07082768435323</v>
      </c>
      <c r="H217" s="2">
        <v>5.3066666666666675</v>
      </c>
      <c r="I217" s="2">
        <v>208660.33333333334</v>
      </c>
      <c r="J217" s="2">
        <f t="shared" si="46"/>
        <v>1.0810053309340963</v>
      </c>
      <c r="K217" s="2">
        <v>101</v>
      </c>
      <c r="L217" s="2">
        <v>127.7</v>
      </c>
      <c r="N217" s="3">
        <f t="shared" si="47"/>
        <v>410.51514641582492</v>
      </c>
      <c r="O217" s="3">
        <f t="shared" si="48"/>
        <v>270.39173557789218</v>
      </c>
      <c r="P217" s="3">
        <f t="shared" si="49"/>
        <v>909.9004728316977</v>
      </c>
      <c r="Q217" s="3">
        <f t="shared" si="50"/>
        <v>466.00732767504337</v>
      </c>
      <c r="R217" s="3">
        <f t="shared" si="53"/>
        <v>0.42658315089676435</v>
      </c>
      <c r="S217" s="3">
        <f t="shared" si="51"/>
        <v>26.031780859536958</v>
      </c>
      <c r="T217" s="3">
        <f t="shared" si="52"/>
        <v>1.3266666666666669</v>
      </c>
      <c r="V217">
        <f t="shared" si="59"/>
        <v>210</v>
      </c>
      <c r="W217">
        <f t="shared" si="54"/>
        <v>1.0991010751952217</v>
      </c>
      <c r="X217">
        <f t="shared" si="54"/>
        <v>-7.2445680570410786E-2</v>
      </c>
      <c r="Y217">
        <f t="shared" si="54"/>
        <v>1.4653937924144884</v>
      </c>
      <c r="Z217">
        <f t="shared" si="55"/>
        <v>4.0902605206650833</v>
      </c>
      <c r="AA217">
        <f t="shared" si="56"/>
        <v>0.42658315089676435</v>
      </c>
      <c r="AB217">
        <f t="shared" si="57"/>
        <v>1.6304514056661326</v>
      </c>
      <c r="AC217" s="6">
        <f t="shared" si="58"/>
        <v>1.3266666666666669</v>
      </c>
    </row>
    <row r="218" spans="1:29" x14ac:dyDescent="0.2">
      <c r="A218">
        <v>2000.1</v>
      </c>
      <c r="B218" s="2">
        <v>9695.6309999999994</v>
      </c>
      <c r="C218" s="2">
        <v>99.316999999999993</v>
      </c>
      <c r="D218" s="2">
        <v>6613.9</v>
      </c>
      <c r="E218" s="2">
        <v>1642.4</v>
      </c>
      <c r="F218" s="2">
        <v>136619.33333333334</v>
      </c>
      <c r="G218" s="2">
        <f t="shared" si="45"/>
        <v>115.04495325030386</v>
      </c>
      <c r="H218" s="2">
        <v>5.68</v>
      </c>
      <c r="I218" s="2">
        <v>211674</v>
      </c>
      <c r="J218" s="2">
        <f t="shared" si="46"/>
        <v>1.0966182156653823</v>
      </c>
      <c r="K218" s="2">
        <v>100.8</v>
      </c>
      <c r="L218" s="2">
        <v>132.1</v>
      </c>
      <c r="N218" s="3">
        <f t="shared" si="47"/>
        <v>410.63809243078947</v>
      </c>
      <c r="O218" s="3">
        <f t="shared" si="48"/>
        <v>271.33660160287849</v>
      </c>
      <c r="P218" s="3">
        <f t="shared" si="49"/>
        <v>908.71995557653554</v>
      </c>
      <c r="Q218" s="3">
        <f t="shared" si="50"/>
        <v>466.1060024571641</v>
      </c>
      <c r="R218" s="3">
        <f t="shared" si="53"/>
        <v>0.89508003439515704</v>
      </c>
      <c r="S218" s="3">
        <f t="shared" si="51"/>
        <v>28.524245674120358</v>
      </c>
      <c r="T218" s="3">
        <f t="shared" si="52"/>
        <v>1.42</v>
      </c>
      <c r="V218">
        <f t="shared" si="59"/>
        <v>211</v>
      </c>
      <c r="W218">
        <f t="shared" si="54"/>
        <v>0.12294601496455471</v>
      </c>
      <c r="X218">
        <f t="shared" si="54"/>
        <v>0.944866024986311</v>
      </c>
      <c r="Y218">
        <f t="shared" si="54"/>
        <v>-1.1805172551621581</v>
      </c>
      <c r="Z218">
        <f t="shared" si="55"/>
        <v>4.1889353027858078</v>
      </c>
      <c r="AA218">
        <f t="shared" si="56"/>
        <v>0.89508003439515704</v>
      </c>
      <c r="AB218">
        <f t="shared" si="57"/>
        <v>2.4924648145833999</v>
      </c>
      <c r="AC218" s="6">
        <f t="shared" si="58"/>
        <v>1.42</v>
      </c>
    </row>
    <row r="219" spans="1:29" x14ac:dyDescent="0.2">
      <c r="A219">
        <v>2000.2</v>
      </c>
      <c r="B219" s="2">
        <v>9847.8919999999998</v>
      </c>
      <c r="C219" s="2">
        <v>99.745000000000005</v>
      </c>
      <c r="D219" s="2">
        <v>6688.1</v>
      </c>
      <c r="E219" s="2">
        <v>1685.4</v>
      </c>
      <c r="F219" s="2">
        <v>136946.66666666666</v>
      </c>
      <c r="G219" s="2">
        <f t="shared" si="45"/>
        <v>115.32059540951947</v>
      </c>
      <c r="H219" s="2">
        <v>6.2733333333333334</v>
      </c>
      <c r="I219" s="2">
        <v>212242</v>
      </c>
      <c r="J219" s="2">
        <f t="shared" si="46"/>
        <v>1.099560849841039</v>
      </c>
      <c r="K219" s="2">
        <v>100.4</v>
      </c>
      <c r="L219" s="2">
        <v>132.5</v>
      </c>
      <c r="N219" s="3">
        <f t="shared" si="47"/>
        <v>411.0557304930885</v>
      </c>
      <c r="O219" s="3">
        <f t="shared" si="48"/>
        <v>273.22304014632732</v>
      </c>
      <c r="P219" s="3">
        <f t="shared" si="49"/>
        <v>910.01018284358042</v>
      </c>
      <c r="Q219" s="3">
        <f t="shared" si="50"/>
        <v>465.67971844589795</v>
      </c>
      <c r="R219" s="3">
        <f t="shared" si="53"/>
        <v>0.43001744132977748</v>
      </c>
      <c r="S219" s="3">
        <f t="shared" si="51"/>
        <v>28.396571622590272</v>
      </c>
      <c r="T219" s="3">
        <f t="shared" si="52"/>
        <v>1.5683333333333334</v>
      </c>
      <c r="V219">
        <f t="shared" si="59"/>
        <v>212</v>
      </c>
      <c r="W219">
        <f t="shared" si="54"/>
        <v>0.41763806229903366</v>
      </c>
      <c r="X219">
        <f t="shared" si="54"/>
        <v>1.8864385434488327</v>
      </c>
      <c r="Y219">
        <f t="shared" si="54"/>
        <v>1.2902272670448838</v>
      </c>
      <c r="Z219">
        <f t="shared" si="55"/>
        <v>3.7626512915196599</v>
      </c>
      <c r="AA219">
        <f t="shared" si="56"/>
        <v>0.43001744132977748</v>
      </c>
      <c r="AB219">
        <f t="shared" si="57"/>
        <v>-0.12767405153008582</v>
      </c>
      <c r="AC219" s="6">
        <f t="shared" si="58"/>
        <v>1.5683333333333334</v>
      </c>
    </row>
    <row r="220" spans="1:29" x14ac:dyDescent="0.2">
      <c r="A220">
        <v>2000.3</v>
      </c>
      <c r="B220" s="2">
        <v>9836.6029999999992</v>
      </c>
      <c r="C220" s="2">
        <v>100.259</v>
      </c>
      <c r="D220" s="2">
        <v>6783.9</v>
      </c>
      <c r="E220" s="2">
        <v>1690.6</v>
      </c>
      <c r="F220" s="2">
        <v>136695.33333333334</v>
      </c>
      <c r="G220" s="2">
        <f t="shared" si="45"/>
        <v>115.10895163350261</v>
      </c>
      <c r="H220" s="2">
        <v>6.52</v>
      </c>
      <c r="I220" s="2">
        <v>212918.66666666666</v>
      </c>
      <c r="J220" s="2">
        <f t="shared" si="46"/>
        <v>1.1030664527615688</v>
      </c>
      <c r="K220" s="2">
        <v>100.2</v>
      </c>
      <c r="L220" s="2">
        <v>135.1</v>
      </c>
      <c r="N220" s="3">
        <f t="shared" si="47"/>
        <v>411.64566133316629</v>
      </c>
      <c r="O220" s="3">
        <f t="shared" si="48"/>
        <v>272.69879510294317</v>
      </c>
      <c r="P220" s="3">
        <f t="shared" si="49"/>
        <v>909.57717211184809</v>
      </c>
      <c r="Q220" s="3">
        <f t="shared" si="50"/>
        <v>464.97831022820941</v>
      </c>
      <c r="R220" s="3">
        <f t="shared" si="53"/>
        <v>0.51399085178172044</v>
      </c>
      <c r="S220" s="3">
        <f t="shared" si="51"/>
        <v>29.825840724796183</v>
      </c>
      <c r="T220" s="3">
        <f t="shared" si="52"/>
        <v>1.63</v>
      </c>
      <c r="V220">
        <f t="shared" si="59"/>
        <v>213</v>
      </c>
      <c r="W220">
        <f t="shared" si="54"/>
        <v>0.58993084007778407</v>
      </c>
      <c r="X220">
        <f t="shared" si="54"/>
        <v>-0.52424504338415545</v>
      </c>
      <c r="Y220">
        <f t="shared" si="54"/>
        <v>-0.43301073173233817</v>
      </c>
      <c r="Z220">
        <f t="shared" si="55"/>
        <v>3.0612430738311218</v>
      </c>
      <c r="AA220">
        <f t="shared" si="56"/>
        <v>0.51399085178172044</v>
      </c>
      <c r="AB220">
        <f t="shared" si="57"/>
        <v>1.429269102205911</v>
      </c>
      <c r="AC220" s="6">
        <f t="shared" si="58"/>
        <v>1.63</v>
      </c>
    </row>
    <row r="221" spans="1:29" x14ac:dyDescent="0.2">
      <c r="A221">
        <v>2000.4</v>
      </c>
      <c r="B221" s="2">
        <v>9887.7489999999998</v>
      </c>
      <c r="C221" s="2">
        <v>100.666</v>
      </c>
      <c r="D221" s="2">
        <v>6871.6</v>
      </c>
      <c r="E221" s="2">
        <v>1697.5</v>
      </c>
      <c r="F221" s="2">
        <v>137341.33333333334</v>
      </c>
      <c r="G221" s="2">
        <f t="shared" si="45"/>
        <v>115.65293789069189</v>
      </c>
      <c r="H221" s="2">
        <v>6.4733333333333336</v>
      </c>
      <c r="I221" s="2">
        <v>213560.33333333334</v>
      </c>
      <c r="J221" s="2">
        <f t="shared" si="46"/>
        <v>1.1063907313931058</v>
      </c>
      <c r="K221" s="2">
        <v>99.8</v>
      </c>
      <c r="L221" s="2">
        <v>135.80000000000001</v>
      </c>
      <c r="N221" s="3">
        <f t="shared" si="47"/>
        <v>412.22410245165059</v>
      </c>
      <c r="O221" s="3">
        <f t="shared" si="48"/>
        <v>272.40006291970661</v>
      </c>
      <c r="P221" s="3">
        <f t="shared" si="49"/>
        <v>909.79486710035678</v>
      </c>
      <c r="Q221" s="3">
        <f t="shared" si="50"/>
        <v>464.74886649083658</v>
      </c>
      <c r="R221" s="3">
        <f t="shared" si="53"/>
        <v>0.40512684500839669</v>
      </c>
      <c r="S221" s="3">
        <f t="shared" si="51"/>
        <v>29.937510895632112</v>
      </c>
      <c r="T221" s="3">
        <f t="shared" si="52"/>
        <v>1.6183333333333334</v>
      </c>
      <c r="V221">
        <f t="shared" si="59"/>
        <v>214</v>
      </c>
      <c r="W221">
        <f t="shared" si="54"/>
        <v>0.57844111848430657</v>
      </c>
      <c r="X221">
        <f t="shared" si="54"/>
        <v>-0.29873218323655237</v>
      </c>
      <c r="Y221">
        <f t="shared" si="54"/>
        <v>0.21769498850869695</v>
      </c>
      <c r="Z221">
        <f t="shared" si="55"/>
        <v>2.831799336458289</v>
      </c>
      <c r="AA221">
        <f t="shared" si="56"/>
        <v>0.40512684500839669</v>
      </c>
      <c r="AB221">
        <f t="shared" si="57"/>
        <v>0.11167017083592867</v>
      </c>
      <c r="AC221" s="6">
        <f t="shared" si="58"/>
        <v>1.6183333333333334</v>
      </c>
    </row>
    <row r="222" spans="1:29" x14ac:dyDescent="0.2">
      <c r="A222">
        <v>2001.1</v>
      </c>
      <c r="B222" s="2">
        <v>9875.5759999999991</v>
      </c>
      <c r="C222" s="2">
        <v>101.47799999999999</v>
      </c>
      <c r="D222" s="2">
        <v>6955.8</v>
      </c>
      <c r="E222" s="2">
        <v>1685.2</v>
      </c>
      <c r="F222" s="2">
        <v>137719</v>
      </c>
      <c r="G222" s="2">
        <f t="shared" si="45"/>
        <v>115.97096494404352</v>
      </c>
      <c r="H222" s="2">
        <v>5.5933333333333337</v>
      </c>
      <c r="I222" s="2">
        <v>214101</v>
      </c>
      <c r="J222" s="2">
        <f t="shared" si="46"/>
        <v>1.109191759933549</v>
      </c>
      <c r="K222" s="2">
        <v>99.4</v>
      </c>
      <c r="L222" s="2">
        <v>138.1</v>
      </c>
      <c r="N222" s="3">
        <f t="shared" si="47"/>
        <v>412.38574907899653</v>
      </c>
      <c r="O222" s="3">
        <f t="shared" si="48"/>
        <v>270.61658979904155</v>
      </c>
      <c r="P222" s="3">
        <f t="shared" si="49"/>
        <v>909.41883112876849</v>
      </c>
      <c r="Q222" s="3">
        <f t="shared" si="50"/>
        <v>464.36901793489687</v>
      </c>
      <c r="R222" s="3">
        <f t="shared" si="53"/>
        <v>0.80339200516847953</v>
      </c>
      <c r="S222" s="3">
        <f t="shared" si="51"/>
        <v>30.813603419528651</v>
      </c>
      <c r="T222" s="3">
        <f t="shared" si="52"/>
        <v>1.3983333333333334</v>
      </c>
      <c r="V222">
        <f t="shared" si="59"/>
        <v>215</v>
      </c>
      <c r="W222">
        <f t="shared" si="54"/>
        <v>0.16164662734593094</v>
      </c>
      <c r="X222">
        <f t="shared" si="54"/>
        <v>-1.7834731206650645</v>
      </c>
      <c r="Y222">
        <f t="shared" si="54"/>
        <v>-0.37603597158829416</v>
      </c>
      <c r="Z222">
        <f t="shared" si="55"/>
        <v>2.4519507805185867</v>
      </c>
      <c r="AA222">
        <f t="shared" si="56"/>
        <v>0.80339200516847953</v>
      </c>
      <c r="AB222">
        <f t="shared" si="57"/>
        <v>0.87609252389653847</v>
      </c>
      <c r="AC222" s="6">
        <f t="shared" si="58"/>
        <v>1.3983333333333334</v>
      </c>
    </row>
    <row r="223" spans="1:29" x14ac:dyDescent="0.2">
      <c r="A223">
        <v>2001.2</v>
      </c>
      <c r="B223" s="2">
        <v>9905.9110000000001</v>
      </c>
      <c r="C223" s="2">
        <v>102.252</v>
      </c>
      <c r="D223" s="2">
        <v>7017.5</v>
      </c>
      <c r="E223" s="2">
        <v>1654.7</v>
      </c>
      <c r="F223" s="2">
        <v>137090.66666666666</v>
      </c>
      <c r="G223" s="2">
        <f t="shared" si="45"/>
        <v>115.4418555040013</v>
      </c>
      <c r="H223" s="2">
        <v>4.3266666666666671</v>
      </c>
      <c r="I223" s="2">
        <v>214735.66666666666</v>
      </c>
      <c r="J223" s="2">
        <f t="shared" si="46"/>
        <v>1.1124797737072871</v>
      </c>
      <c r="K223" s="2">
        <v>98.9</v>
      </c>
      <c r="L223" s="2">
        <v>139</v>
      </c>
      <c r="N223" s="3">
        <f t="shared" si="47"/>
        <v>412.21303996465053</v>
      </c>
      <c r="O223" s="3">
        <f t="shared" si="48"/>
        <v>267.73430939082664</v>
      </c>
      <c r="P223" s="3">
        <f t="shared" si="49"/>
        <v>909.42953746982425</v>
      </c>
      <c r="Q223" s="3">
        <f t="shared" si="50"/>
        <v>463.11144863407873</v>
      </c>
      <c r="R223" s="3">
        <f t="shared" si="53"/>
        <v>0.75983284138594342</v>
      </c>
      <c r="S223" s="3">
        <f t="shared" si="51"/>
        <v>30.703357849687261</v>
      </c>
      <c r="T223" s="3">
        <f t="shared" si="52"/>
        <v>1.0816666666666668</v>
      </c>
      <c r="V223">
        <f t="shared" si="59"/>
        <v>216</v>
      </c>
      <c r="W223">
        <f t="shared" si="54"/>
        <v>-0.17270911434599157</v>
      </c>
      <c r="X223">
        <f t="shared" si="54"/>
        <v>-2.8822804082149105</v>
      </c>
      <c r="Y223">
        <f t="shared" si="54"/>
        <v>1.0706341055765733E-2</v>
      </c>
      <c r="Z223">
        <f t="shared" si="55"/>
        <v>1.1943814797004393</v>
      </c>
      <c r="AA223">
        <f t="shared" si="56"/>
        <v>0.75983284138594342</v>
      </c>
      <c r="AB223">
        <f t="shared" si="57"/>
        <v>-0.11024556984138911</v>
      </c>
      <c r="AC223" s="6">
        <f t="shared" si="58"/>
        <v>1.0816666666666668</v>
      </c>
    </row>
    <row r="224" spans="1:29" x14ac:dyDescent="0.2">
      <c r="A224">
        <v>2001.3</v>
      </c>
      <c r="B224" s="2">
        <v>9871.06</v>
      </c>
      <c r="C224" s="2">
        <v>102.675</v>
      </c>
      <c r="D224" s="2">
        <v>7058.5</v>
      </c>
      <c r="E224" s="2">
        <v>1644.8</v>
      </c>
      <c r="F224" s="2">
        <v>136729.33333333334</v>
      </c>
      <c r="G224" s="2">
        <f t="shared" si="45"/>
        <v>115.13758248914414</v>
      </c>
      <c r="H224" s="2">
        <v>3.4966666666666666</v>
      </c>
      <c r="I224" s="2">
        <v>215421.66666666666</v>
      </c>
      <c r="J224" s="2">
        <f t="shared" si="46"/>
        <v>1.1160337297715486</v>
      </c>
      <c r="K224" s="2">
        <v>98.5</v>
      </c>
      <c r="L224" s="2">
        <v>139.6</v>
      </c>
      <c r="N224" s="3">
        <f t="shared" si="47"/>
        <v>412.06380961696112</v>
      </c>
      <c r="O224" s="3">
        <f t="shared" si="48"/>
        <v>266.40243281062033</v>
      </c>
      <c r="P224" s="3">
        <f t="shared" si="49"/>
        <v>908.75814354989029</v>
      </c>
      <c r="Q224" s="3">
        <f t="shared" si="50"/>
        <v>462.12330576323211</v>
      </c>
      <c r="R224" s="3">
        <f t="shared" si="53"/>
        <v>0.41283052088028072</v>
      </c>
      <c r="S224" s="3">
        <f t="shared" si="51"/>
        <v>30.721253048564972</v>
      </c>
      <c r="T224" s="3">
        <f t="shared" si="52"/>
        <v>0.87416666666666665</v>
      </c>
      <c r="V224">
        <f t="shared" si="59"/>
        <v>217</v>
      </c>
      <c r="W224">
        <f t="shared" si="54"/>
        <v>-0.14923034768941079</v>
      </c>
      <c r="X224">
        <f t="shared" si="54"/>
        <v>-1.3318765802063126</v>
      </c>
      <c r="Y224">
        <f t="shared" si="54"/>
        <v>-0.67139391993396202</v>
      </c>
      <c r="Z224">
        <f t="shared" si="55"/>
        <v>0.20623860885382328</v>
      </c>
      <c r="AA224">
        <f t="shared" si="56"/>
        <v>0.41283052088028072</v>
      </c>
      <c r="AB224">
        <f t="shared" si="57"/>
        <v>1.7895198877710072E-2</v>
      </c>
      <c r="AC224" s="6">
        <f t="shared" si="58"/>
        <v>0.87416666666666665</v>
      </c>
    </row>
    <row r="225" spans="1:29" x14ac:dyDescent="0.2">
      <c r="A225">
        <v>2001.4</v>
      </c>
      <c r="B225" s="2">
        <v>9910.0339999999997</v>
      </c>
      <c r="C225" s="2">
        <v>103.191</v>
      </c>
      <c r="D225" s="2">
        <v>7188.4</v>
      </c>
      <c r="E225" s="2">
        <v>1599.6</v>
      </c>
      <c r="F225" s="2">
        <v>136222.33333333334</v>
      </c>
      <c r="G225" s="2">
        <f t="shared" si="45"/>
        <v>114.71064590648939</v>
      </c>
      <c r="H225" s="2">
        <v>2.1333333333333333</v>
      </c>
      <c r="I225" s="2">
        <v>216111.66666666666</v>
      </c>
      <c r="J225" s="2">
        <f t="shared" si="46"/>
        <v>1.1196084086116949</v>
      </c>
      <c r="K225" s="2">
        <v>98.3</v>
      </c>
      <c r="L225" s="2">
        <v>140.69999999999999</v>
      </c>
      <c r="N225" s="3">
        <f t="shared" si="47"/>
        <v>413.06632657134355</v>
      </c>
      <c r="O225" s="3">
        <f t="shared" si="48"/>
        <v>262.79482480282314</v>
      </c>
      <c r="P225" s="3">
        <f t="shared" si="49"/>
        <v>908.83240691938022</v>
      </c>
      <c r="Q225" s="3">
        <f t="shared" si="50"/>
        <v>461.22876872176261</v>
      </c>
      <c r="R225" s="3">
        <f t="shared" si="53"/>
        <v>0.5012980099562192</v>
      </c>
      <c r="S225" s="3">
        <f t="shared" si="51"/>
        <v>31.004832417815877</v>
      </c>
      <c r="T225" s="3">
        <f t="shared" si="52"/>
        <v>0.53333333333333333</v>
      </c>
      <c r="V225">
        <f t="shared" si="59"/>
        <v>218</v>
      </c>
      <c r="W225">
        <f t="shared" si="54"/>
        <v>1.002516954382429</v>
      </c>
      <c r="X225">
        <f t="shared" si="54"/>
        <v>-3.6076080077971824</v>
      </c>
      <c r="Y225">
        <f t="shared" si="54"/>
        <v>7.4263369489926845E-2</v>
      </c>
      <c r="Z225">
        <f t="shared" si="55"/>
        <v>-0.68829843261568158</v>
      </c>
      <c r="AA225">
        <f t="shared" si="56"/>
        <v>0.5012980099562192</v>
      </c>
      <c r="AB225">
        <f t="shared" si="57"/>
        <v>0.28357936925090499</v>
      </c>
      <c r="AC225" s="6">
        <f t="shared" si="58"/>
        <v>0.53333333333333333</v>
      </c>
    </row>
    <row r="226" spans="1:29" x14ac:dyDescent="0.2">
      <c r="A226">
        <v>2002.1</v>
      </c>
      <c r="B226" s="2">
        <v>9993.4779999999992</v>
      </c>
      <c r="C226" s="2">
        <v>103.45</v>
      </c>
      <c r="D226" s="2">
        <v>7236.9</v>
      </c>
      <c r="E226" s="2">
        <v>1577.4</v>
      </c>
      <c r="F226" s="2">
        <v>136096.33333333334</v>
      </c>
      <c r="G226" s="2">
        <f t="shared" si="45"/>
        <v>114.60454332381779</v>
      </c>
      <c r="H226" s="2">
        <v>1.7333333333333332</v>
      </c>
      <c r="I226" s="2">
        <v>216664</v>
      </c>
      <c r="J226" s="2">
        <f t="shared" si="46"/>
        <v>1.1224698785818021</v>
      </c>
      <c r="K226" s="2">
        <v>98.5</v>
      </c>
      <c r="L226" s="2">
        <v>142.5</v>
      </c>
      <c r="N226" s="3">
        <f t="shared" si="47"/>
        <v>413.23283066501091</v>
      </c>
      <c r="O226" s="3">
        <f t="shared" si="48"/>
        <v>260.89132907236763</v>
      </c>
      <c r="P226" s="3">
        <f t="shared" si="49"/>
        <v>909.41564531525808</v>
      </c>
      <c r="Q226" s="3">
        <f t="shared" si="50"/>
        <v>461.08423046955761</v>
      </c>
      <c r="R226" s="3">
        <f t="shared" si="53"/>
        <v>0.25067642493681319</v>
      </c>
      <c r="S226" s="3">
        <f t="shared" si="51"/>
        <v>32.025359551715319</v>
      </c>
      <c r="T226" s="3">
        <f t="shared" si="52"/>
        <v>0.43333333333333329</v>
      </c>
      <c r="V226">
        <f t="shared" si="59"/>
        <v>219</v>
      </c>
      <c r="W226">
        <f t="shared" si="54"/>
        <v>0.1665040936673563</v>
      </c>
      <c r="X226">
        <f t="shared" si="54"/>
        <v>-1.9034957304555178</v>
      </c>
      <c r="Y226">
        <f t="shared" si="54"/>
        <v>0.58323839587785642</v>
      </c>
      <c r="Z226">
        <f t="shared" si="55"/>
        <v>-0.83283668482067696</v>
      </c>
      <c r="AA226">
        <f t="shared" si="56"/>
        <v>0.25067642493681319</v>
      </c>
      <c r="AB226">
        <f t="shared" si="57"/>
        <v>1.0205271338994422</v>
      </c>
      <c r="AC226" s="6">
        <f t="shared" si="58"/>
        <v>0.43333333333333329</v>
      </c>
    </row>
    <row r="227" spans="1:29" x14ac:dyDescent="0.2">
      <c r="A227">
        <v>2002.2</v>
      </c>
      <c r="B227" s="2">
        <v>10052.575999999999</v>
      </c>
      <c r="C227" s="2">
        <v>103.911</v>
      </c>
      <c r="D227" s="2">
        <v>7339.3</v>
      </c>
      <c r="E227" s="2">
        <v>1563</v>
      </c>
      <c r="F227" s="2">
        <v>136367</v>
      </c>
      <c r="G227" s="2">
        <f t="shared" si="45"/>
        <v>114.83246739029751</v>
      </c>
      <c r="H227" s="2">
        <v>1.75</v>
      </c>
      <c r="I227" s="2">
        <v>217203.66666666666</v>
      </c>
      <c r="J227" s="2">
        <f t="shared" si="46"/>
        <v>1.1252657264282739</v>
      </c>
      <c r="K227" s="2">
        <v>98.7</v>
      </c>
      <c r="L227" s="2">
        <v>143.80000000000001</v>
      </c>
      <c r="N227" s="3">
        <f t="shared" si="47"/>
        <v>413.94447766474389</v>
      </c>
      <c r="O227" s="3">
        <f t="shared" si="48"/>
        <v>259.2808357855568</v>
      </c>
      <c r="P227" s="3">
        <f t="shared" si="49"/>
        <v>909.75649900163978</v>
      </c>
      <c r="Q227" s="3">
        <f t="shared" si="50"/>
        <v>461.2369812305447</v>
      </c>
      <c r="R227" s="3">
        <f t="shared" si="53"/>
        <v>0.44463593395240864</v>
      </c>
      <c r="S227" s="3">
        <f t="shared" si="51"/>
        <v>32.488868175587022</v>
      </c>
      <c r="T227" s="3">
        <f t="shared" si="52"/>
        <v>0.4375</v>
      </c>
      <c r="V227">
        <f t="shared" si="59"/>
        <v>220</v>
      </c>
      <c r="W227">
        <f t="shared" si="54"/>
        <v>0.71164699973297729</v>
      </c>
      <c r="X227">
        <f t="shared" si="54"/>
        <v>-1.6104932868108222</v>
      </c>
      <c r="Y227">
        <f t="shared" si="54"/>
        <v>0.34085368638170621</v>
      </c>
      <c r="Z227">
        <f t="shared" si="55"/>
        <v>-0.68008592383358746</v>
      </c>
      <c r="AA227">
        <f t="shared" si="56"/>
        <v>0.44463593395240864</v>
      </c>
      <c r="AB227">
        <f t="shared" si="57"/>
        <v>0.46350862387170366</v>
      </c>
      <c r="AC227" s="6">
        <f t="shared" si="58"/>
        <v>0.4375</v>
      </c>
    </row>
    <row r="228" spans="1:29" x14ac:dyDescent="0.2">
      <c r="A228">
        <v>2002.3</v>
      </c>
      <c r="B228" s="2">
        <v>10117.27</v>
      </c>
      <c r="C228" s="2">
        <v>104.24299999999999</v>
      </c>
      <c r="D228" s="2">
        <v>7428</v>
      </c>
      <c r="E228" s="2">
        <v>1562.2</v>
      </c>
      <c r="F228" s="2">
        <v>136824.33333333334</v>
      </c>
      <c r="G228" s="2">
        <f t="shared" si="45"/>
        <v>115.21758046814257</v>
      </c>
      <c r="H228" s="2">
        <v>1.74</v>
      </c>
      <c r="I228" s="2">
        <v>217867.66666666666</v>
      </c>
      <c r="J228" s="2">
        <f t="shared" si="46"/>
        <v>1.1287057072251685</v>
      </c>
      <c r="K228" s="2">
        <v>98.6</v>
      </c>
      <c r="L228" s="2">
        <v>144.30000000000001</v>
      </c>
      <c r="N228" s="3">
        <f t="shared" si="47"/>
        <v>414.52156259055045</v>
      </c>
      <c r="O228" s="3">
        <f t="shared" si="48"/>
        <v>258.60540666091055</v>
      </c>
      <c r="P228" s="3">
        <f t="shared" si="49"/>
        <v>910.09275591774974</v>
      </c>
      <c r="Q228" s="3">
        <f t="shared" si="50"/>
        <v>461.16518360436754</v>
      </c>
      <c r="R228" s="3">
        <f t="shared" si="53"/>
        <v>0.31899486104478569</v>
      </c>
      <c r="S228" s="3">
        <f t="shared" si="51"/>
        <v>32.516975363830078</v>
      </c>
      <c r="T228" s="3">
        <f t="shared" si="52"/>
        <v>0.435</v>
      </c>
      <c r="V228">
        <f t="shared" si="59"/>
        <v>221</v>
      </c>
      <c r="W228">
        <f t="shared" si="54"/>
        <v>0.57708492580655957</v>
      </c>
      <c r="X228">
        <f t="shared" si="54"/>
        <v>-0.67542912464625715</v>
      </c>
      <c r="Y228">
        <f t="shared" si="54"/>
        <v>0.33625691610996</v>
      </c>
      <c r="Z228">
        <f t="shared" si="55"/>
        <v>-0.75188355001074569</v>
      </c>
      <c r="AA228">
        <f t="shared" si="56"/>
        <v>0.31899486104478569</v>
      </c>
      <c r="AB228">
        <f t="shared" si="57"/>
        <v>2.8107188243055248E-2</v>
      </c>
      <c r="AC228" s="6">
        <f t="shared" si="58"/>
        <v>0.435</v>
      </c>
    </row>
    <row r="229" spans="1:29" x14ac:dyDescent="0.2">
      <c r="A229">
        <v>2002.4</v>
      </c>
      <c r="B229" s="2">
        <v>10135.922</v>
      </c>
      <c r="C229" s="2">
        <v>104.752</v>
      </c>
      <c r="D229" s="2">
        <v>7500</v>
      </c>
      <c r="E229" s="2">
        <v>1569.5</v>
      </c>
      <c r="F229" s="2">
        <v>136642.33333333334</v>
      </c>
      <c r="G229" s="2">
        <f t="shared" si="45"/>
        <v>115.06432118206138</v>
      </c>
      <c r="H229" s="2">
        <v>1.4433333333333334</v>
      </c>
      <c r="I229" s="2">
        <v>218543</v>
      </c>
      <c r="J229" s="2">
        <f t="shared" si="46"/>
        <v>1.1322044025537368</v>
      </c>
      <c r="K229" s="2">
        <v>98.4</v>
      </c>
      <c r="L229" s="2">
        <v>144.69999999999999</v>
      </c>
      <c r="N229" s="3">
        <f t="shared" si="47"/>
        <v>414.68961167180709</v>
      </c>
      <c r="O229" s="3">
        <f t="shared" si="48"/>
        <v>258.27501934756771</v>
      </c>
      <c r="P229" s="3">
        <f t="shared" si="49"/>
        <v>909.96744955204395</v>
      </c>
      <c r="Q229" s="3">
        <f t="shared" si="50"/>
        <v>460.51953735942652</v>
      </c>
      <c r="R229" s="3">
        <f t="shared" si="53"/>
        <v>0.48709395572110736</v>
      </c>
      <c r="S229" s="3">
        <f t="shared" si="51"/>
        <v>32.306698193870261</v>
      </c>
      <c r="T229" s="3">
        <f t="shared" si="52"/>
        <v>0.36083333333333334</v>
      </c>
      <c r="V229">
        <f t="shared" si="59"/>
        <v>222</v>
      </c>
      <c r="W229">
        <f t="shared" si="54"/>
        <v>0.16804908125664042</v>
      </c>
      <c r="X229">
        <f t="shared" si="54"/>
        <v>-0.33038731334283966</v>
      </c>
      <c r="Y229">
        <f t="shared" si="54"/>
        <v>-0.12530636570579645</v>
      </c>
      <c r="Z229">
        <f t="shared" si="55"/>
        <v>-1.3975297949517653</v>
      </c>
      <c r="AA229">
        <f t="shared" si="56"/>
        <v>0.48709395572110736</v>
      </c>
      <c r="AB229">
        <f t="shared" si="57"/>
        <v>-0.21027716995981649</v>
      </c>
      <c r="AC229" s="6">
        <f t="shared" si="58"/>
        <v>0.36083333333333334</v>
      </c>
    </row>
    <row r="230" spans="1:29" x14ac:dyDescent="0.2">
      <c r="A230">
        <v>2003.1</v>
      </c>
      <c r="B230" s="2">
        <v>10184.418</v>
      </c>
      <c r="C230" s="2">
        <v>105.5</v>
      </c>
      <c r="D230" s="2">
        <v>7609.8</v>
      </c>
      <c r="E230" s="2">
        <v>1586</v>
      </c>
      <c r="F230" s="2">
        <v>137415</v>
      </c>
      <c r="G230" s="2">
        <f t="shared" si="45"/>
        <v>115.71497141124856</v>
      </c>
      <c r="H230" s="2">
        <v>1.25</v>
      </c>
      <c r="I230" s="2">
        <v>220215.5</v>
      </c>
      <c r="J230" s="2">
        <f t="shared" si="46"/>
        <v>1.1408691132206128</v>
      </c>
      <c r="K230" s="2">
        <v>98.2</v>
      </c>
      <c r="L230" s="2">
        <v>146.69999999999999</v>
      </c>
      <c r="N230" s="3">
        <f t="shared" si="47"/>
        <v>414.66908644248582</v>
      </c>
      <c r="O230" s="3">
        <f t="shared" si="48"/>
        <v>257.84690973182126</v>
      </c>
      <c r="P230" s="3">
        <f t="shared" si="49"/>
        <v>909.6823832210589</v>
      </c>
      <c r="Q230" s="3">
        <f t="shared" si="50"/>
        <v>460.11757017817052</v>
      </c>
      <c r="R230" s="3">
        <f t="shared" si="53"/>
        <v>0.71153012173859054</v>
      </c>
      <c r="S230" s="3">
        <f t="shared" si="51"/>
        <v>32.967873223281465</v>
      </c>
      <c r="T230" s="3">
        <f t="shared" si="52"/>
        <v>0.3125</v>
      </c>
      <c r="V230">
        <f t="shared" si="59"/>
        <v>223</v>
      </c>
      <c r="W230">
        <f t="shared" si="54"/>
        <v>-2.0525229321265215E-2</v>
      </c>
      <c r="X230">
        <f t="shared" si="54"/>
        <v>-0.42810961574645034</v>
      </c>
      <c r="Y230">
        <f t="shared" si="54"/>
        <v>-0.28506633098504608</v>
      </c>
      <c r="Z230">
        <f t="shared" si="55"/>
        <v>-1.7994969762077631</v>
      </c>
      <c r="AA230">
        <f t="shared" si="56"/>
        <v>0.71153012173859054</v>
      </c>
      <c r="AB230">
        <f t="shared" si="57"/>
        <v>0.66117502941120421</v>
      </c>
      <c r="AC230" s="6">
        <f t="shared" si="58"/>
        <v>0.3125</v>
      </c>
    </row>
    <row r="231" spans="1:29" x14ac:dyDescent="0.2">
      <c r="A231">
        <v>2003.2</v>
      </c>
      <c r="B231" s="2">
        <v>10287.397999999999</v>
      </c>
      <c r="C231" s="2">
        <v>105.79900000000001</v>
      </c>
      <c r="D231" s="2">
        <v>7696.3</v>
      </c>
      <c r="E231" s="2">
        <v>1626.4</v>
      </c>
      <c r="F231" s="2">
        <v>137651.66666666666</v>
      </c>
      <c r="G231" s="2">
        <f t="shared" si="45"/>
        <v>115.91426462208673</v>
      </c>
      <c r="H231" s="2">
        <v>1.2466666666666668</v>
      </c>
      <c r="I231" s="2">
        <v>220774</v>
      </c>
      <c r="J231" s="2">
        <f t="shared" si="46"/>
        <v>1.1437625308035428</v>
      </c>
      <c r="K231" s="2">
        <v>98.1</v>
      </c>
      <c r="L231" s="2">
        <v>148.69999999999999</v>
      </c>
      <c r="N231" s="3">
        <f t="shared" si="47"/>
        <v>415.26306118496973</v>
      </c>
      <c r="O231" s="3">
        <f t="shared" si="48"/>
        <v>259.82599012890614</v>
      </c>
      <c r="P231" s="3">
        <f t="shared" si="49"/>
        <v>910.43516365494634</v>
      </c>
      <c r="Q231" s="3">
        <f t="shared" si="50"/>
        <v>459.93447068950991</v>
      </c>
      <c r="R231" s="3">
        <f t="shared" si="53"/>
        <v>0.28301146675682176</v>
      </c>
      <c r="S231" s="3">
        <f t="shared" si="51"/>
        <v>34.038978588241989</v>
      </c>
      <c r="T231" s="3">
        <f t="shared" si="52"/>
        <v>0.3116666666666667</v>
      </c>
      <c r="V231">
        <f t="shared" si="59"/>
        <v>224</v>
      </c>
      <c r="W231">
        <f t="shared" si="54"/>
        <v>0.59397474248390836</v>
      </c>
      <c r="X231">
        <f t="shared" si="54"/>
        <v>1.9790803970848856</v>
      </c>
      <c r="Y231">
        <f t="shared" si="54"/>
        <v>0.75278043388743754</v>
      </c>
      <c r="Z231">
        <f t="shared" si="55"/>
        <v>-1.9825964648683794</v>
      </c>
      <c r="AA231">
        <f t="shared" si="56"/>
        <v>0.28301146675682176</v>
      </c>
      <c r="AB231">
        <f t="shared" si="57"/>
        <v>1.0711053649605233</v>
      </c>
      <c r="AC231" s="6">
        <f t="shared" si="58"/>
        <v>0.3116666666666667</v>
      </c>
    </row>
    <row r="232" spans="1:29" x14ac:dyDescent="0.2">
      <c r="A232">
        <v>2003.3</v>
      </c>
      <c r="B232" s="2">
        <v>10472.841</v>
      </c>
      <c r="C232" s="2">
        <v>106.148</v>
      </c>
      <c r="D232" s="2">
        <v>7822.5</v>
      </c>
      <c r="E232" s="2">
        <v>1700.2</v>
      </c>
      <c r="F232" s="2">
        <v>137574.33333333334</v>
      </c>
      <c r="G232" s="2">
        <f t="shared" si="45"/>
        <v>115.84914346023541</v>
      </c>
      <c r="H232" s="2">
        <v>1.0166666666666666</v>
      </c>
      <c r="I232" s="2">
        <v>221512.66666666666</v>
      </c>
      <c r="J232" s="2">
        <f t="shared" si="46"/>
        <v>1.1475893367502887</v>
      </c>
      <c r="K232" s="2">
        <v>98</v>
      </c>
      <c r="L232" s="2">
        <v>150.80000000000001</v>
      </c>
      <c r="N232" s="3">
        <f t="shared" si="47"/>
        <v>416.22616155343309</v>
      </c>
      <c r="O232" s="3">
        <f t="shared" si="48"/>
        <v>263.60033101745529</v>
      </c>
      <c r="P232" s="3">
        <f t="shared" si="49"/>
        <v>911.88771004622902</v>
      </c>
      <c r="Q232" s="3">
        <f t="shared" si="50"/>
        <v>459.44226367101504</v>
      </c>
      <c r="R232" s="3">
        <f t="shared" si="53"/>
        <v>0.32932791257120897</v>
      </c>
      <c r="S232" s="3">
        <f t="shared" si="51"/>
        <v>35.112010886445411</v>
      </c>
      <c r="T232" s="3">
        <f t="shared" si="52"/>
        <v>0.25416666666666665</v>
      </c>
      <c r="V232">
        <f t="shared" si="59"/>
        <v>225</v>
      </c>
      <c r="W232">
        <f t="shared" si="54"/>
        <v>0.96310036846335834</v>
      </c>
      <c r="X232">
        <f t="shared" si="54"/>
        <v>3.7743408885491476</v>
      </c>
      <c r="Y232">
        <f t="shared" si="54"/>
        <v>1.4525463912826808</v>
      </c>
      <c r="Z232">
        <f t="shared" si="55"/>
        <v>-2.474803483363246</v>
      </c>
      <c r="AA232">
        <f t="shared" si="56"/>
        <v>0.32932791257120897</v>
      </c>
      <c r="AB232">
        <f t="shared" si="57"/>
        <v>1.0730322982034224</v>
      </c>
      <c r="AC232" s="6">
        <f t="shared" si="58"/>
        <v>0.25416666666666665</v>
      </c>
    </row>
    <row r="233" spans="1:29" x14ac:dyDescent="0.2">
      <c r="A233">
        <v>2003.4</v>
      </c>
      <c r="B233" s="2">
        <v>10580.728999999999</v>
      </c>
      <c r="C233" s="2">
        <v>106.523</v>
      </c>
      <c r="D233" s="2">
        <v>7914.9</v>
      </c>
      <c r="E233" s="2">
        <v>1755.2</v>
      </c>
      <c r="F233" s="2">
        <v>138296</v>
      </c>
      <c r="G233" s="2">
        <f t="shared" si="45"/>
        <v>116.45684740596027</v>
      </c>
      <c r="H233" s="2">
        <v>1.0066666666666666</v>
      </c>
      <c r="I233" s="2">
        <v>222275.66666666666</v>
      </c>
      <c r="J233" s="2">
        <f t="shared" si="46"/>
        <v>1.1515422062503344</v>
      </c>
      <c r="K233" s="2">
        <v>98.2</v>
      </c>
      <c r="L233" s="2">
        <v>152.30000000000001</v>
      </c>
      <c r="N233" s="3">
        <f t="shared" si="47"/>
        <v>416.70393208367386</v>
      </c>
      <c r="O233" s="3">
        <f t="shared" si="48"/>
        <v>266.08750723611917</v>
      </c>
      <c r="P233" s="3">
        <f t="shared" si="49"/>
        <v>912.56875137447184</v>
      </c>
      <c r="Q233" s="3">
        <f t="shared" si="50"/>
        <v>459.82547323418584</v>
      </c>
      <c r="R233" s="3">
        <f t="shared" si="53"/>
        <v>0.35265775648616327</v>
      </c>
      <c r="S233" s="3">
        <f t="shared" si="51"/>
        <v>35.749133562685302</v>
      </c>
      <c r="T233" s="3">
        <f t="shared" si="52"/>
        <v>0.25166666666666665</v>
      </c>
      <c r="V233">
        <f t="shared" si="59"/>
        <v>226</v>
      </c>
      <c r="W233">
        <f t="shared" si="54"/>
        <v>0.47777053024077532</v>
      </c>
      <c r="X233">
        <f t="shared" si="54"/>
        <v>2.4871762186638762</v>
      </c>
      <c r="Y233">
        <f t="shared" si="54"/>
        <v>0.68104132824282715</v>
      </c>
      <c r="Z233">
        <f t="shared" si="55"/>
        <v>-2.0915939201924516</v>
      </c>
      <c r="AA233">
        <f t="shared" si="56"/>
        <v>0.35265775648616327</v>
      </c>
      <c r="AB233">
        <f t="shared" si="57"/>
        <v>0.6371226762398905</v>
      </c>
      <c r="AC233" s="6">
        <f t="shared" si="58"/>
        <v>0.25166666666666665</v>
      </c>
    </row>
    <row r="234" spans="1:29" x14ac:dyDescent="0.2">
      <c r="A234">
        <v>2004.1</v>
      </c>
      <c r="B234" s="2">
        <v>10697.453</v>
      </c>
      <c r="C234" s="2">
        <v>107.246</v>
      </c>
      <c r="D234" s="2">
        <v>8060.2</v>
      </c>
      <c r="E234" s="2">
        <v>1783.5</v>
      </c>
      <c r="F234" s="2">
        <v>138407.66666666666</v>
      </c>
      <c r="G234" s="2">
        <f t="shared" si="45"/>
        <v>116.5508801181163</v>
      </c>
      <c r="H234" s="2">
        <v>1.0033333333333332</v>
      </c>
      <c r="I234" s="2">
        <v>222453.5</v>
      </c>
      <c r="J234" s="2">
        <f t="shared" si="46"/>
        <v>1.1524635063282176</v>
      </c>
      <c r="K234" s="2">
        <v>98.4</v>
      </c>
      <c r="L234" s="2">
        <v>153.1</v>
      </c>
      <c r="N234" s="3">
        <f t="shared" si="47"/>
        <v>417.7666557417088</v>
      </c>
      <c r="O234" s="3">
        <f t="shared" si="48"/>
        <v>266.93059131274384</v>
      </c>
      <c r="P234" s="3">
        <f t="shared" si="49"/>
        <v>913.58591241352337</v>
      </c>
      <c r="Q234" s="3">
        <f t="shared" si="50"/>
        <v>460.02967043481675</v>
      </c>
      <c r="R234" s="3">
        <f t="shared" si="53"/>
        <v>0.6764336801052373</v>
      </c>
      <c r="S234" s="3">
        <f t="shared" si="51"/>
        <v>35.596604158832228</v>
      </c>
      <c r="T234" s="3">
        <f t="shared" si="52"/>
        <v>0.2508333333333333</v>
      </c>
      <c r="V234">
        <f t="shared" si="59"/>
        <v>227</v>
      </c>
      <c r="W234">
        <f t="shared" si="54"/>
        <v>1.0627236580349404</v>
      </c>
      <c r="X234">
        <f t="shared" si="54"/>
        <v>0.84308407662467744</v>
      </c>
      <c r="Y234">
        <f t="shared" si="54"/>
        <v>1.0171610390515298</v>
      </c>
      <c r="Z234">
        <f t="shared" si="55"/>
        <v>-1.8873967195615364</v>
      </c>
      <c r="AA234">
        <f t="shared" si="56"/>
        <v>0.6764336801052373</v>
      </c>
      <c r="AB234">
        <f t="shared" si="57"/>
        <v>-0.15252940385307312</v>
      </c>
      <c r="AC234" s="6">
        <f t="shared" si="58"/>
        <v>0.2508333333333333</v>
      </c>
    </row>
    <row r="235" spans="1:29" x14ac:dyDescent="0.2">
      <c r="A235">
        <v>2004.2</v>
      </c>
      <c r="B235" s="2">
        <v>10784.726000000001</v>
      </c>
      <c r="C235" s="2">
        <v>108.093</v>
      </c>
      <c r="D235" s="2">
        <v>8153.8</v>
      </c>
      <c r="E235" s="2">
        <v>1861.7</v>
      </c>
      <c r="F235" s="2">
        <v>138883</v>
      </c>
      <c r="G235" s="2">
        <f t="shared" si="45"/>
        <v>116.9511507077716</v>
      </c>
      <c r="H235" s="2">
        <v>1.01</v>
      </c>
      <c r="I235" s="2">
        <v>222973.33333333334</v>
      </c>
      <c r="J235" s="2">
        <f t="shared" si="46"/>
        <v>1.1551566037442602</v>
      </c>
      <c r="K235" s="2">
        <v>97.9</v>
      </c>
      <c r="L235" s="2">
        <v>155.30000000000001</v>
      </c>
      <c r="N235" s="3">
        <f t="shared" si="47"/>
        <v>417.90114651074776</v>
      </c>
      <c r="O235" s="3">
        <f t="shared" si="48"/>
        <v>270.20174376460398</v>
      </c>
      <c r="P235" s="3">
        <f t="shared" si="49"/>
        <v>914.16502304045741</v>
      </c>
      <c r="Q235" s="3">
        <f t="shared" si="50"/>
        <v>459.62967734042002</v>
      </c>
      <c r="R235" s="3">
        <f t="shared" si="53"/>
        <v>0.78667066165465371</v>
      </c>
      <c r="S235" s="3">
        <f t="shared" si="51"/>
        <v>36.236676246277923</v>
      </c>
      <c r="T235" s="3">
        <f t="shared" si="52"/>
        <v>0.2525</v>
      </c>
      <c r="V235">
        <f t="shared" si="59"/>
        <v>228</v>
      </c>
      <c r="W235">
        <f t="shared" si="54"/>
        <v>0.13449076903896184</v>
      </c>
      <c r="X235">
        <f t="shared" si="54"/>
        <v>3.2711524518601323</v>
      </c>
      <c r="Y235">
        <f t="shared" si="54"/>
        <v>0.57911062693403892</v>
      </c>
      <c r="Z235">
        <f t="shared" si="55"/>
        <v>-2.2873898139582707</v>
      </c>
      <c r="AA235">
        <f t="shared" si="56"/>
        <v>0.78667066165465371</v>
      </c>
      <c r="AB235">
        <f t="shared" si="57"/>
        <v>0.6400720874456951</v>
      </c>
      <c r="AC235" s="6">
        <f t="shared" si="58"/>
        <v>0.2525</v>
      </c>
    </row>
    <row r="236" spans="1:29" x14ac:dyDescent="0.2">
      <c r="A236">
        <v>2004.3</v>
      </c>
      <c r="B236" s="2">
        <v>10891.044</v>
      </c>
      <c r="C236" s="2">
        <v>108.482</v>
      </c>
      <c r="D236" s="2">
        <v>8282.5</v>
      </c>
      <c r="E236" s="2">
        <v>1915.4</v>
      </c>
      <c r="F236" s="2">
        <v>139608</v>
      </c>
      <c r="G236" s="2">
        <f t="shared" si="45"/>
        <v>117.56166160012799</v>
      </c>
      <c r="H236" s="2">
        <v>1.4333333333333333</v>
      </c>
      <c r="I236" s="2">
        <v>223680</v>
      </c>
      <c r="J236" s="2">
        <f t="shared" si="46"/>
        <v>1.1588176274839268</v>
      </c>
      <c r="K236" s="2">
        <v>98.1</v>
      </c>
      <c r="L236" s="2">
        <v>157.4</v>
      </c>
      <c r="N236" s="3">
        <f t="shared" si="47"/>
        <v>418.79156749331639</v>
      </c>
      <c r="O236" s="3">
        <f t="shared" si="48"/>
        <v>272.36972978466321</v>
      </c>
      <c r="P236" s="3">
        <f t="shared" si="49"/>
        <v>914.8295880459998</v>
      </c>
      <c r="Q236" s="3">
        <f t="shared" si="50"/>
        <v>460.0379957453768</v>
      </c>
      <c r="R236" s="3">
        <f t="shared" si="53"/>
        <v>0.35922929084426514</v>
      </c>
      <c r="S236" s="3">
        <f t="shared" si="51"/>
        <v>37.220607538299795</v>
      </c>
      <c r="T236" s="3">
        <f t="shared" si="52"/>
        <v>0.35833333333333334</v>
      </c>
      <c r="V236">
        <f t="shared" si="59"/>
        <v>229</v>
      </c>
      <c r="W236">
        <f t="shared" si="54"/>
        <v>0.89042098256862801</v>
      </c>
      <c r="X236">
        <f t="shared" si="54"/>
        <v>2.1679860200592316</v>
      </c>
      <c r="Y236">
        <f t="shared" si="54"/>
        <v>0.66456500554238573</v>
      </c>
      <c r="Z236">
        <f t="shared" si="55"/>
        <v>-1.8790714090014831</v>
      </c>
      <c r="AA236">
        <f t="shared" si="56"/>
        <v>0.35922929084426514</v>
      </c>
      <c r="AB236">
        <f t="shared" si="57"/>
        <v>0.98393129202187168</v>
      </c>
      <c r="AC236" s="6">
        <f t="shared" si="58"/>
        <v>0.35833333333333334</v>
      </c>
    </row>
    <row r="237" spans="1:29" x14ac:dyDescent="0.2">
      <c r="A237">
        <v>2004.4</v>
      </c>
      <c r="B237" s="2">
        <v>10994.317999999999</v>
      </c>
      <c r="C237" s="2">
        <v>109.1</v>
      </c>
      <c r="D237" s="2">
        <v>8423.2999999999993</v>
      </c>
      <c r="E237" s="2">
        <v>1975.3</v>
      </c>
      <c r="F237" s="2">
        <v>140092</v>
      </c>
      <c r="G237" s="2">
        <f t="shared" si="45"/>
        <v>117.96923025102524</v>
      </c>
      <c r="H237" s="2">
        <v>1.95</v>
      </c>
      <c r="I237" s="2">
        <v>224418</v>
      </c>
      <c r="J237" s="2">
        <f t="shared" si="46"/>
        <v>1.1626409796346919</v>
      </c>
      <c r="K237" s="2">
        <v>98.2</v>
      </c>
      <c r="L237" s="2">
        <v>158.69999999999999</v>
      </c>
      <c r="N237" s="3">
        <f t="shared" si="47"/>
        <v>419.57979376752411</v>
      </c>
      <c r="O237" s="3">
        <f t="shared" si="48"/>
        <v>274.55165477644715</v>
      </c>
      <c r="P237" s="3">
        <f t="shared" si="49"/>
        <v>915.4439748939941</v>
      </c>
      <c r="Q237" s="3">
        <f t="shared" si="50"/>
        <v>460.15657353190511</v>
      </c>
      <c r="R237" s="3">
        <f t="shared" si="53"/>
        <v>0.56806322387199515</v>
      </c>
      <c r="S237" s="3">
        <f t="shared" si="51"/>
        <v>37.475073469333822</v>
      </c>
      <c r="T237" s="3">
        <f t="shared" si="52"/>
        <v>0.48749999999999999</v>
      </c>
      <c r="V237">
        <f t="shared" si="59"/>
        <v>230</v>
      </c>
      <c r="W237">
        <f t="shared" si="54"/>
        <v>0.78822627420771596</v>
      </c>
      <c r="X237">
        <f t="shared" si="54"/>
        <v>2.1819249917839443</v>
      </c>
      <c r="Y237">
        <f t="shared" si="54"/>
        <v>0.61438684799429666</v>
      </c>
      <c r="Z237">
        <f t="shared" si="55"/>
        <v>-1.7604936224731773</v>
      </c>
      <c r="AA237">
        <f t="shared" si="56"/>
        <v>0.56806322387199515</v>
      </c>
      <c r="AB237">
        <f t="shared" si="57"/>
        <v>0.25446593103402648</v>
      </c>
      <c r="AC237" s="6">
        <f t="shared" si="58"/>
        <v>0.48749999999999999</v>
      </c>
    </row>
    <row r="238" spans="1:29" x14ac:dyDescent="0.2">
      <c r="F238">
        <v>140295.33333333334</v>
      </c>
      <c r="G238">
        <f t="shared" si="45"/>
        <v>118.1404539955482</v>
      </c>
      <c r="H238">
        <v>2.4700000000000002</v>
      </c>
      <c r="I238">
        <v>225138.5</v>
      </c>
      <c r="J238">
        <f t="shared" si="46"/>
        <v>1.1663736696409606</v>
      </c>
    </row>
    <row r="239" spans="1:29" x14ac:dyDescent="0.2">
      <c r="Q239" s="3">
        <f>AVERAGE(Q6:Q237)</f>
        <v>461.91706715437829</v>
      </c>
    </row>
    <row r="241" spans="4:4" x14ac:dyDescent="0.2">
      <c r="D241">
        <v>1.76</v>
      </c>
    </row>
    <row r="242" spans="4:4" x14ac:dyDescent="0.2">
      <c r="D242">
        <v>1.93</v>
      </c>
    </row>
    <row r="243" spans="4:4" x14ac:dyDescent="0.2">
      <c r="D243">
        <v>2.16</v>
      </c>
    </row>
  </sheetData>
  <pageMargins left="0.75" right="0.17" top="1" bottom="1" header="0.5" footer="0.5"/>
  <pageSetup paperSize="9" orientation="portrait" r:id="rId1"/>
  <headerFooter alignWithMargins="0">
    <oddHeader>&amp;A</oddHeader>
    <oddFooter>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2CF6-E402-40DF-8709-5D66AF609FA0}">
  <dimension ref="B1:AI133"/>
  <sheetViews>
    <sheetView tabSelected="1" topLeftCell="E1" workbookViewId="0">
      <selection activeCell="L4" sqref="L4"/>
    </sheetView>
  </sheetViews>
  <sheetFormatPr baseColWidth="10" defaultRowHeight="12.75" x14ac:dyDescent="0.2"/>
  <cols>
    <col min="3" max="5" width="11.5703125" bestFit="1" customWidth="1"/>
    <col min="6" max="6" width="14.85546875" bestFit="1" customWidth="1"/>
    <col min="7" max="7" width="11.5703125" bestFit="1" customWidth="1"/>
    <col min="8" max="8" width="13.85546875" bestFit="1" customWidth="1"/>
    <col min="9" max="9" width="13.85546875" customWidth="1"/>
  </cols>
  <sheetData>
    <row r="1" spans="2:35" x14ac:dyDescent="0.2">
      <c r="B1" s="5" t="s">
        <v>146</v>
      </c>
      <c r="C1" s="13" t="s">
        <v>147</v>
      </c>
      <c r="D1" s="14"/>
      <c r="E1" s="14"/>
      <c r="F1" s="12" t="s">
        <v>151</v>
      </c>
      <c r="G1" t="s">
        <v>152</v>
      </c>
      <c r="H1" s="12" t="s">
        <v>153</v>
      </c>
      <c r="I1" t="s">
        <v>152</v>
      </c>
      <c r="J1" s="12" t="s">
        <v>154</v>
      </c>
      <c r="K1" s="12" t="s">
        <v>155</v>
      </c>
      <c r="L1" t="s">
        <v>152</v>
      </c>
      <c r="M1" s="12" t="s">
        <v>156</v>
      </c>
      <c r="N1" t="s">
        <v>152</v>
      </c>
      <c r="O1" s="12" t="s">
        <v>157</v>
      </c>
      <c r="P1" t="s">
        <v>152</v>
      </c>
      <c r="S1" s="1"/>
    </row>
    <row r="2" spans="2:35" s="5" customFormat="1" x14ac:dyDescent="0.2">
      <c r="B2" s="5" t="s">
        <v>46</v>
      </c>
      <c r="C2" s="5" t="s">
        <v>148</v>
      </c>
      <c r="D2" s="5" t="s">
        <v>149</v>
      </c>
      <c r="E2" s="5" t="s">
        <v>150</v>
      </c>
      <c r="F2" s="5" t="s">
        <v>136</v>
      </c>
      <c r="G2" s="5" t="s">
        <v>134</v>
      </c>
      <c r="H2" s="5" t="s">
        <v>135</v>
      </c>
      <c r="I2" s="5" t="s">
        <v>142</v>
      </c>
      <c r="J2" s="5" t="s">
        <v>141</v>
      </c>
      <c r="K2" s="5" t="s">
        <v>137</v>
      </c>
      <c r="L2" s="5" t="s">
        <v>138</v>
      </c>
      <c r="M2" t="s">
        <v>139</v>
      </c>
      <c r="N2" s="5" t="s">
        <v>143</v>
      </c>
      <c r="O2" s="5" t="s">
        <v>140</v>
      </c>
      <c r="P2" s="5" t="s">
        <v>144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AB2" s="1" t="s">
        <v>20</v>
      </c>
      <c r="AC2" s="1" t="s">
        <v>21</v>
      </c>
      <c r="AD2" s="1" t="s">
        <v>22</v>
      </c>
      <c r="AE2" s="1" t="s">
        <v>23</v>
      </c>
      <c r="AF2" s="1" t="s">
        <v>24</v>
      </c>
      <c r="AG2" s="1" t="s">
        <v>25</v>
      </c>
      <c r="AH2" s="1" t="s">
        <v>26</v>
      </c>
      <c r="AI2" s="1" t="s">
        <v>27</v>
      </c>
    </row>
    <row r="3" spans="2:35" x14ac:dyDescent="0.2">
      <c r="B3" t="s">
        <v>47</v>
      </c>
      <c r="C3" s="6">
        <v>476076.35591188457</v>
      </c>
      <c r="D3" s="6">
        <v>302779.166413375</v>
      </c>
      <c r="E3" s="6">
        <v>74499.022071720305</v>
      </c>
      <c r="F3" s="6">
        <v>439195.86500017258</v>
      </c>
      <c r="G3" s="6">
        <f>(F3/C3)*100</f>
        <v>92.25324037757126</v>
      </c>
      <c r="H3" s="6">
        <v>38815916</v>
      </c>
      <c r="I3" s="6">
        <f>H3/$H$3</f>
        <v>1</v>
      </c>
      <c r="J3" s="9">
        <v>5.4616793275735205</v>
      </c>
      <c r="K3" s="6">
        <v>97.842689239526706</v>
      </c>
      <c r="L3">
        <f>K3/G3*100</f>
        <v>106.05881033455206</v>
      </c>
      <c r="M3" s="6">
        <v>9258.5240721196296</v>
      </c>
      <c r="N3" s="6">
        <f>M3/$M$3</f>
        <v>1</v>
      </c>
      <c r="O3" s="7">
        <v>41.010100000000001</v>
      </c>
      <c r="P3" s="8">
        <f>O3/$O$3*100</f>
        <v>100</v>
      </c>
      <c r="S3" s="6">
        <f>LN(D3/I3)*100</f>
        <v>1262.0758995052149</v>
      </c>
      <c r="T3" s="6">
        <f>LN(E3/I3)*100</f>
        <v>1121.8541277727406</v>
      </c>
      <c r="U3" s="6">
        <f>LN(C3/I3)*100</f>
        <v>1307.3333531928586</v>
      </c>
      <c r="V3" s="6">
        <f t="shared" ref="V3:V34" si="0">LN((P3*N3/100)/I3)*100</f>
        <v>0</v>
      </c>
      <c r="W3" s="6"/>
      <c r="X3" s="6">
        <f>LN(L3)*100</f>
        <v>466.39937547363257</v>
      </c>
      <c r="Y3" s="6">
        <f>J3/4</f>
        <v>1.3654198318933801</v>
      </c>
    </row>
    <row r="4" spans="2:35" x14ac:dyDescent="0.2">
      <c r="B4" t="s">
        <v>54</v>
      </c>
      <c r="C4" s="6">
        <v>470012.80022148089</v>
      </c>
      <c r="D4" s="6">
        <v>304363.74613927503</v>
      </c>
      <c r="E4" s="6">
        <v>76869.447200217997</v>
      </c>
      <c r="F4" s="6">
        <v>509498.6632468832</v>
      </c>
      <c r="G4" s="6">
        <f t="shared" ref="G4:G67" si="1">(F4/C4)*100</f>
        <v>108.40101865455487</v>
      </c>
      <c r="H4" s="6">
        <v>38915748.44369705</v>
      </c>
      <c r="I4" s="6">
        <f t="shared" ref="I4:I67" si="2">H4/$H$3</f>
        <v>1.0025719460980143</v>
      </c>
      <c r="J4" s="9">
        <v>5.3821851319721485</v>
      </c>
      <c r="K4" s="6">
        <v>99.738628052410448</v>
      </c>
      <c r="L4">
        <f t="shared" ref="L4:L67" si="3">K4/G4*100</f>
        <v>92.008939851617853</v>
      </c>
      <c r="M4" s="6">
        <v>9365.3110076226476</v>
      </c>
      <c r="N4" s="6">
        <f>M4/$M$3</f>
        <v>1.0115339048288039</v>
      </c>
      <c r="O4" s="7">
        <v>41.991199999999999</v>
      </c>
      <c r="P4" s="8">
        <f t="shared" ref="P4:P67" si="4">O4/$O$3*100</f>
        <v>102.39233749734822</v>
      </c>
      <c r="S4" s="6">
        <f t="shared" ref="S4:S67" si="5">LN(D4/I4)*100</f>
        <v>1262.3410154160922</v>
      </c>
      <c r="T4" s="6">
        <f t="shared" ref="T4:T67" si="6">LN(E4/I4)*100</f>
        <v>1124.7295126653321</v>
      </c>
      <c r="U4" s="6">
        <f t="shared" ref="U4:U67" si="7">LN(C4/I4)*100</f>
        <v>1305.7946563524383</v>
      </c>
      <c r="V4" s="6">
        <f>LN((P4*N4/100)/I4)*100</f>
        <v>3.254094680533496</v>
      </c>
      <c r="W4" s="6">
        <f>(LN(G4)-LN(G3))*100</f>
        <v>16.130007779576871</v>
      </c>
      <c r="X4" s="6">
        <f>LN(L4)*100</f>
        <v>452.18857446283118</v>
      </c>
      <c r="Y4" s="6">
        <f t="shared" ref="Y4:Y67" si="8">J4/4</f>
        <v>1.3455462829930371</v>
      </c>
      <c r="AB4">
        <v>1</v>
      </c>
      <c r="AC4" s="6">
        <f t="shared" ref="AC4:AC35" si="9">S4-S3</f>
        <v>0.26511591087728448</v>
      </c>
      <c r="AD4" s="6">
        <f t="shared" ref="AD4:AD35" si="10">T4-T3</f>
        <v>2.8753848925914554</v>
      </c>
      <c r="AE4" s="6">
        <f t="shared" ref="AE4:AE35" si="11">U4-U3</f>
        <v>-1.5386968404202435</v>
      </c>
      <c r="AF4" s="6">
        <f>V4-$V$91</f>
        <v>-11.301937000651346</v>
      </c>
      <c r="AG4" s="6">
        <f>W4</f>
        <v>16.130007779576871</v>
      </c>
      <c r="AH4" s="6">
        <f>X4-X3</f>
        <v>-14.21080101080139</v>
      </c>
      <c r="AI4" s="6">
        <f>Y4</f>
        <v>1.3455462829930371</v>
      </c>
    </row>
    <row r="5" spans="2:35" x14ac:dyDescent="0.2">
      <c r="B5" t="s">
        <v>55</v>
      </c>
      <c r="C5" s="6">
        <v>493891.12238798192</v>
      </c>
      <c r="D5" s="6">
        <v>316912.810669347</v>
      </c>
      <c r="E5" s="6">
        <v>77809.319530315101</v>
      </c>
      <c r="F5" s="6">
        <v>488462.38259118347</v>
      </c>
      <c r="G5" s="6">
        <f t="shared" si="1"/>
        <v>98.900822559727274</v>
      </c>
      <c r="H5" s="6">
        <v>39015837.651058115</v>
      </c>
      <c r="I5" s="6">
        <f t="shared" si="2"/>
        <v>1.0051505071027595</v>
      </c>
      <c r="J5" s="9">
        <v>6.6330801724683086</v>
      </c>
      <c r="K5" s="6">
        <v>100.60948989947669</v>
      </c>
      <c r="L5">
        <f t="shared" si="3"/>
        <v>101.72765735969236</v>
      </c>
      <c r="M5" s="6">
        <v>9556.0350087220359</v>
      </c>
      <c r="N5" s="6">
        <f>M5/$M$3</f>
        <v>1.0321337325782094</v>
      </c>
      <c r="O5" s="7">
        <v>41.991199999999999</v>
      </c>
      <c r="P5" s="8">
        <f t="shared" si="4"/>
        <v>102.39233749734822</v>
      </c>
      <c r="S5" s="6">
        <f t="shared" si="5"/>
        <v>1266.1244681210856</v>
      </c>
      <c r="T5" s="6">
        <f t="shared" si="6"/>
        <v>1125.6879202690243</v>
      </c>
      <c r="U5" s="6">
        <f t="shared" si="7"/>
        <v>1310.4933083244491</v>
      </c>
      <c r="V5" s="6">
        <f t="shared" si="0"/>
        <v>5.0132650575882964</v>
      </c>
      <c r="W5" s="6">
        <f t="shared" ref="W5:W68" si="12">(LN(G5)-LN(G4))*100</f>
        <v>-9.1719930464343236</v>
      </c>
      <c r="X5" s="6">
        <f t="shared" ref="X4:X67" si="13">LN(L5)*100</f>
        <v>462.22992165221495</v>
      </c>
      <c r="Y5" s="6">
        <f t="shared" si="8"/>
        <v>1.6582700431170772</v>
      </c>
      <c r="AB5">
        <f>AB4+1</f>
        <v>2</v>
      </c>
      <c r="AC5" s="6">
        <f t="shared" si="9"/>
        <v>3.7834527049933513</v>
      </c>
      <c r="AD5" s="6">
        <f t="shared" si="10"/>
        <v>0.95840760369219424</v>
      </c>
      <c r="AE5" s="6">
        <f t="shared" si="11"/>
        <v>4.6986519720107935</v>
      </c>
      <c r="AF5" s="6">
        <f t="shared" ref="AF5:AF68" si="14">V5-$V$91</f>
        <v>-9.5427666235965454</v>
      </c>
      <c r="AG5" s="6">
        <f t="shared" ref="AG5:AG68" si="15">W5</f>
        <v>-9.1719930464343236</v>
      </c>
      <c r="AH5" s="6">
        <f t="shared" ref="AH5:AH68" si="16">X5-X4</f>
        <v>10.041347189383771</v>
      </c>
      <c r="AI5" s="6">
        <f t="shared" ref="AI5:AI68" si="17">Y5</f>
        <v>1.6582700431170772</v>
      </c>
    </row>
    <row r="6" spans="2:35" x14ac:dyDescent="0.2">
      <c r="B6" t="s">
        <v>63</v>
      </c>
      <c r="C6" s="6">
        <v>500480.50233110512</v>
      </c>
      <c r="D6" s="6">
        <v>324271.818801546</v>
      </c>
      <c r="E6" s="6">
        <v>79234.919531637002</v>
      </c>
      <c r="F6" s="6">
        <v>503303.86806077929</v>
      </c>
      <c r="G6" s="6">
        <f t="shared" si="1"/>
        <v>100.56413101340085</v>
      </c>
      <c r="H6" s="6">
        <v>39116184.28246551</v>
      </c>
      <c r="I6" s="6">
        <f t="shared" si="2"/>
        <v>1.0077357000274194</v>
      </c>
      <c r="J6" s="9">
        <v>5.6847155305897745</v>
      </c>
      <c r="K6" s="6">
        <v>101.80919280858616</v>
      </c>
      <c r="L6">
        <f t="shared" si="3"/>
        <v>101.23807741650887</v>
      </c>
      <c r="M6" s="6">
        <v>9670.5350491933586</v>
      </c>
      <c r="N6" s="6">
        <f t="shared" ref="N6:N69" si="18">M6/$M$3</f>
        <v>1.0445007188904358</v>
      </c>
      <c r="O6" s="7">
        <v>41.892200000000003</v>
      </c>
      <c r="P6" s="8">
        <f t="shared" si="4"/>
        <v>102.15093355051562</v>
      </c>
      <c r="S6" s="6">
        <f t="shared" si="5"/>
        <v>1268.1631457059175</v>
      </c>
      <c r="T6" s="6">
        <f t="shared" si="6"/>
        <v>1127.2466450896127</v>
      </c>
      <c r="U6" s="6">
        <f t="shared" si="7"/>
        <v>1311.5617987682806</v>
      </c>
      <c r="V6" s="6">
        <f t="shared" si="0"/>
        <v>5.7114331612695786</v>
      </c>
      <c r="W6" s="6">
        <f t="shared" si="12"/>
        <v>1.6678087844468337</v>
      </c>
      <c r="X6" s="6">
        <f t="shared" si="13"/>
        <v>461.74749451420888</v>
      </c>
      <c r="Y6" s="6">
        <f t="shared" si="8"/>
        <v>1.4211788826474436</v>
      </c>
      <c r="AB6">
        <f t="shared" ref="AB6:AB69" si="19">AB5+1</f>
        <v>3</v>
      </c>
      <c r="AC6" s="6">
        <f t="shared" si="9"/>
        <v>2.0386775848319303</v>
      </c>
      <c r="AD6" s="6">
        <f t="shared" si="10"/>
        <v>1.5587248205883952</v>
      </c>
      <c r="AE6" s="6">
        <f t="shared" si="11"/>
        <v>1.0684904438314788</v>
      </c>
      <c r="AF6" s="6">
        <f t="shared" si="14"/>
        <v>-8.8445985199152641</v>
      </c>
      <c r="AG6" s="6">
        <f t="shared" si="15"/>
        <v>1.6678087844468337</v>
      </c>
      <c r="AH6" s="6">
        <f t="shared" si="16"/>
        <v>-0.48242713800607362</v>
      </c>
      <c r="AI6" s="6">
        <f t="shared" si="17"/>
        <v>1.4211788826474436</v>
      </c>
    </row>
    <row r="7" spans="2:35" x14ac:dyDescent="0.2">
      <c r="B7" t="s">
        <v>67</v>
      </c>
      <c r="C7" s="6">
        <v>514983.24764611531</v>
      </c>
      <c r="D7" s="6">
        <v>318979.46118846699</v>
      </c>
      <c r="E7" s="6">
        <v>85178.468993447401</v>
      </c>
      <c r="F7" s="6">
        <v>510703.42701511632</v>
      </c>
      <c r="G7" s="6">
        <f t="shared" si="1"/>
        <v>99.168939834341955</v>
      </c>
      <c r="H7" s="6">
        <v>39216789</v>
      </c>
      <c r="I7" s="6">
        <f t="shared" si="2"/>
        <v>1.0103275419289346</v>
      </c>
      <c r="J7" s="9">
        <v>4.6824607202179864</v>
      </c>
      <c r="K7" s="6">
        <v>109.3680014967938</v>
      </c>
      <c r="L7">
        <f t="shared" si="3"/>
        <v>110.28453231373551</v>
      </c>
      <c r="M7" s="6">
        <v>9520.2239897629006</v>
      </c>
      <c r="N7" s="6">
        <f t="shared" si="18"/>
        <v>1.0282658354187719</v>
      </c>
      <c r="O7" s="7">
        <v>42.018999999999998</v>
      </c>
      <c r="P7" s="8">
        <f t="shared" si="4"/>
        <v>102.46012567635776</v>
      </c>
      <c r="S7" s="6">
        <f t="shared" si="5"/>
        <v>1266.2607417485874</v>
      </c>
      <c r="T7" s="6">
        <f t="shared" si="6"/>
        <v>1134.2229392316829</v>
      </c>
      <c r="U7" s="6">
        <f t="shared" si="7"/>
        <v>1314.1615073055132</v>
      </c>
      <c r="V7" s="6">
        <f t="shared" si="0"/>
        <v>4.1902670260969321</v>
      </c>
      <c r="W7" s="6">
        <f t="shared" si="12"/>
        <v>-1.397078476965774</v>
      </c>
      <c r="X7" s="6">
        <f t="shared" si="13"/>
        <v>470.30636835495301</v>
      </c>
      <c r="Y7" s="6">
        <f t="shared" si="8"/>
        <v>1.1706151800544966</v>
      </c>
      <c r="AB7">
        <f t="shared" si="19"/>
        <v>4</v>
      </c>
      <c r="AC7" s="6">
        <f t="shared" si="9"/>
        <v>-1.9024039573300797</v>
      </c>
      <c r="AD7" s="6">
        <f t="shared" si="10"/>
        <v>6.9762941420701736</v>
      </c>
      <c r="AE7" s="6">
        <f t="shared" si="11"/>
        <v>2.5997085372325728</v>
      </c>
      <c r="AF7" s="6">
        <f t="shared" si="14"/>
        <v>-10.365764655087911</v>
      </c>
      <c r="AG7" s="6">
        <f t="shared" si="15"/>
        <v>-1.397078476965774</v>
      </c>
      <c r="AH7" s="6">
        <f t="shared" si="16"/>
        <v>8.5588738407441269</v>
      </c>
      <c r="AI7" s="6">
        <f t="shared" si="17"/>
        <v>1.1706151800544966</v>
      </c>
    </row>
    <row r="8" spans="2:35" x14ac:dyDescent="0.2">
      <c r="B8" t="s">
        <v>75</v>
      </c>
      <c r="C8" s="6">
        <v>527064.5782008057</v>
      </c>
      <c r="D8" s="6">
        <v>346676.85679586203</v>
      </c>
      <c r="E8" s="6">
        <v>87994.904413103795</v>
      </c>
      <c r="F8" s="6">
        <v>605771.77584651019</v>
      </c>
      <c r="G8" s="6">
        <f t="shared" si="1"/>
        <v>114.93312222088238</v>
      </c>
      <c r="H8" s="6">
        <v>39317730.108427174</v>
      </c>
      <c r="I8" s="6">
        <f t="shared" si="2"/>
        <v>1.0129280501438425</v>
      </c>
      <c r="J8" s="9">
        <v>6.1410383612912449</v>
      </c>
      <c r="K8" s="6">
        <v>114.3641177704576</v>
      </c>
      <c r="L8">
        <f t="shared" si="3"/>
        <v>99.504925612887078</v>
      </c>
      <c r="M8" s="6">
        <v>9636.5742056753206</v>
      </c>
      <c r="N8" s="6">
        <f t="shared" si="18"/>
        <v>1.0408326565455632</v>
      </c>
      <c r="O8" s="7">
        <v>41.238300000000002</v>
      </c>
      <c r="P8" s="8">
        <f t="shared" si="4"/>
        <v>100.5564482895677</v>
      </c>
      <c r="S8" s="6">
        <f t="shared" si="5"/>
        <v>1274.3303180388345</v>
      </c>
      <c r="T8" s="6">
        <f t="shared" si="6"/>
        <v>1137.2188991154735</v>
      </c>
      <c r="U8" s="6">
        <f t="shared" si="7"/>
        <v>1316.2233163064104</v>
      </c>
      <c r="V8" s="6">
        <f t="shared" si="0"/>
        <v>3.2724886234296093</v>
      </c>
      <c r="W8" s="6">
        <f t="shared" si="12"/>
        <v>14.752555454037175</v>
      </c>
      <c r="X8" s="6">
        <f t="shared" si="13"/>
        <v>460.02071465863884</v>
      </c>
      <c r="Y8" s="6">
        <f t="shared" si="8"/>
        <v>1.5352595903228112</v>
      </c>
      <c r="AB8">
        <f t="shared" si="19"/>
        <v>5</v>
      </c>
      <c r="AC8" s="6">
        <f t="shared" si="9"/>
        <v>8.0695762902471415</v>
      </c>
      <c r="AD8" s="6">
        <f t="shared" si="10"/>
        <v>2.9959598837906469</v>
      </c>
      <c r="AE8" s="6">
        <f t="shared" si="11"/>
        <v>2.0618090008972558</v>
      </c>
      <c r="AF8" s="6">
        <f t="shared" si="14"/>
        <v>-11.283543057755233</v>
      </c>
      <c r="AG8" s="6">
        <f t="shared" si="15"/>
        <v>14.752555454037175</v>
      </c>
      <c r="AH8" s="6">
        <f t="shared" si="16"/>
        <v>-10.285653696314171</v>
      </c>
      <c r="AI8" s="6">
        <f t="shared" si="17"/>
        <v>1.5352595903228112</v>
      </c>
    </row>
    <row r="9" spans="2:35" x14ac:dyDescent="0.2">
      <c r="B9" t="s">
        <v>56</v>
      </c>
      <c r="C9" s="6">
        <v>530103.2878765451</v>
      </c>
      <c r="D9" s="6">
        <v>331328.51985935902</v>
      </c>
      <c r="E9" s="6">
        <v>88235.041123711606</v>
      </c>
      <c r="F9" s="6">
        <v>590219.55914262927</v>
      </c>
      <c r="G9" s="6">
        <f t="shared" si="1"/>
        <v>111.34048262686582</v>
      </c>
      <c r="H9" s="6">
        <v>39418931.031786427</v>
      </c>
      <c r="I9" s="6">
        <f t="shared" si="2"/>
        <v>1.0155352518741649</v>
      </c>
      <c r="J9" s="9">
        <v>7.2559664960583623</v>
      </c>
      <c r="K9" s="6">
        <v>120.87743866830709</v>
      </c>
      <c r="L9">
        <f t="shared" si="3"/>
        <v>108.56557814052448</v>
      </c>
      <c r="M9" s="6">
        <v>9911.340299462443</v>
      </c>
      <c r="N9" s="6">
        <f t="shared" si="18"/>
        <v>1.0705097510421397</v>
      </c>
      <c r="O9" s="7">
        <v>44.798699999999997</v>
      </c>
      <c r="P9" s="8">
        <f t="shared" si="4"/>
        <v>109.23821205020225</v>
      </c>
      <c r="S9" s="6">
        <f t="shared" si="5"/>
        <v>1269.5449854031726</v>
      </c>
      <c r="T9" s="6">
        <f t="shared" si="6"/>
        <v>1137.234363950161</v>
      </c>
      <c r="U9" s="6">
        <f t="shared" si="7"/>
        <v>1316.5411334081155</v>
      </c>
      <c r="V9" s="6">
        <f t="shared" si="0"/>
        <v>14.107986593935401</v>
      </c>
      <c r="W9" s="6">
        <f t="shared" si="12"/>
        <v>-3.1757495836219896</v>
      </c>
      <c r="X9" s="6">
        <f t="shared" si="13"/>
        <v>468.73543972253844</v>
      </c>
      <c r="Y9" s="6">
        <f t="shared" si="8"/>
        <v>1.8139916240145906</v>
      </c>
      <c r="AB9">
        <f t="shared" si="19"/>
        <v>6</v>
      </c>
      <c r="AC9" s="6">
        <f t="shared" si="9"/>
        <v>-4.7853326356619164</v>
      </c>
      <c r="AD9" s="6">
        <f t="shared" si="10"/>
        <v>1.5464834687463735E-2</v>
      </c>
      <c r="AE9" s="6">
        <f t="shared" si="11"/>
        <v>0.31781710170503175</v>
      </c>
      <c r="AF9" s="6">
        <f t="shared" si="14"/>
        <v>-0.44804508724944192</v>
      </c>
      <c r="AG9" s="6">
        <f t="shared" si="15"/>
        <v>-3.1757495836219896</v>
      </c>
      <c r="AH9" s="6">
        <f t="shared" si="16"/>
        <v>8.714725063899607</v>
      </c>
      <c r="AI9" s="6">
        <f t="shared" si="17"/>
        <v>1.8139916240145906</v>
      </c>
    </row>
    <row r="10" spans="2:35" x14ac:dyDescent="0.2">
      <c r="B10" t="s">
        <v>48</v>
      </c>
      <c r="C10" s="6">
        <v>540072.65629019018</v>
      </c>
      <c r="D10" s="6">
        <v>343626.29751488101</v>
      </c>
      <c r="E10" s="6">
        <v>95821.006006238895</v>
      </c>
      <c r="F10" s="6">
        <v>623457.92974484281</v>
      </c>
      <c r="G10" s="6">
        <f t="shared" si="1"/>
        <v>115.43963992316033</v>
      </c>
      <c r="H10" s="6">
        <v>39520392.43882215</v>
      </c>
      <c r="I10" s="6">
        <f t="shared" si="2"/>
        <v>1.018149164348515</v>
      </c>
      <c r="J10" s="9">
        <v>7.5673818068990748</v>
      </c>
      <c r="K10" s="6">
        <v>127.02790046321233</v>
      </c>
      <c r="L10">
        <f t="shared" si="3"/>
        <v>110.03837204253708</v>
      </c>
      <c r="M10" s="6">
        <v>10014.903996037439</v>
      </c>
      <c r="N10" s="6">
        <f t="shared" si="18"/>
        <v>1.0816955184245307</v>
      </c>
      <c r="O10" s="7">
        <v>43.021500000000003</v>
      </c>
      <c r="P10" s="8">
        <f t="shared" si="4"/>
        <v>104.90464544100114</v>
      </c>
      <c r="S10" s="6">
        <f t="shared" si="5"/>
        <v>1272.9323567162976</v>
      </c>
      <c r="T10" s="6">
        <f t="shared" si="6"/>
        <v>1145.2250775039861</v>
      </c>
      <c r="U10" s="6">
        <f t="shared" si="7"/>
        <v>1318.1472523915866</v>
      </c>
      <c r="V10" s="6">
        <f t="shared" si="0"/>
        <v>10.84249132054345</v>
      </c>
      <c r="W10" s="6">
        <f t="shared" si="12"/>
        <v>3.6154877833755705</v>
      </c>
      <c r="X10" s="6">
        <f t="shared" si="13"/>
        <v>470.08291417133597</v>
      </c>
      <c r="Y10" s="6">
        <f t="shared" si="8"/>
        <v>1.8918454517247687</v>
      </c>
      <c r="AB10">
        <f t="shared" si="19"/>
        <v>7</v>
      </c>
      <c r="AC10" s="6">
        <f t="shared" si="9"/>
        <v>3.3873713131249588</v>
      </c>
      <c r="AD10" s="6">
        <f t="shared" si="10"/>
        <v>7.9907135538251168</v>
      </c>
      <c r="AE10" s="6">
        <f t="shared" si="11"/>
        <v>1.6061189834711058</v>
      </c>
      <c r="AF10" s="6">
        <f t="shared" si="14"/>
        <v>-3.7135403606413924</v>
      </c>
      <c r="AG10" s="6">
        <f t="shared" si="15"/>
        <v>3.6154877833755705</v>
      </c>
      <c r="AH10" s="6">
        <f t="shared" si="16"/>
        <v>1.3474744487975272</v>
      </c>
      <c r="AI10" s="6">
        <f t="shared" si="17"/>
        <v>1.8918454517247687</v>
      </c>
    </row>
    <row r="11" spans="2:35" x14ac:dyDescent="0.2">
      <c r="B11" t="s">
        <v>68</v>
      </c>
      <c r="C11" s="6">
        <v>554499.36072981206</v>
      </c>
      <c r="D11" s="6">
        <v>353504.75760955899</v>
      </c>
      <c r="E11" s="6">
        <v>97451.053989446606</v>
      </c>
      <c r="F11" s="6">
        <v>643562.37958706089</v>
      </c>
      <c r="G11" s="6">
        <f t="shared" si="1"/>
        <v>116.06187944744018</v>
      </c>
      <c r="H11" s="6">
        <v>39622115</v>
      </c>
      <c r="I11" s="6">
        <f t="shared" si="2"/>
        <v>1.0207698048398497</v>
      </c>
      <c r="J11" s="9">
        <v>7.0674488315873862</v>
      </c>
      <c r="K11" s="6">
        <v>132.3097682804447</v>
      </c>
      <c r="L11">
        <f t="shared" si="3"/>
        <v>113.99933286481247</v>
      </c>
      <c r="M11" s="6">
        <v>9900.267019769024</v>
      </c>
      <c r="N11" s="6">
        <f t="shared" si="18"/>
        <v>1.0693137418718699</v>
      </c>
      <c r="O11" s="7">
        <v>41.892200000000003</v>
      </c>
      <c r="P11" s="8">
        <f t="shared" si="4"/>
        <v>102.15093355051562</v>
      </c>
      <c r="S11" s="6">
        <f t="shared" si="5"/>
        <v>1275.5095169539895</v>
      </c>
      <c r="T11" s="6">
        <f t="shared" si="6"/>
        <v>1146.6548467299269</v>
      </c>
      <c r="U11" s="6">
        <f t="shared" si="7"/>
        <v>1320.5263879622462</v>
      </c>
      <c r="V11" s="6">
        <f t="shared" si="0"/>
        <v>6.7741300953638204</v>
      </c>
      <c r="W11" s="6">
        <f t="shared" si="12"/>
        <v>0.53756970963600992</v>
      </c>
      <c r="X11" s="6">
        <f t="shared" si="13"/>
        <v>473.61925963143233</v>
      </c>
      <c r="Y11" s="6">
        <f t="shared" si="8"/>
        <v>1.7668622078968466</v>
      </c>
      <c r="AB11">
        <f t="shared" si="19"/>
        <v>8</v>
      </c>
      <c r="AC11" s="6">
        <f t="shared" si="9"/>
        <v>2.5771602376919418</v>
      </c>
      <c r="AD11" s="6">
        <f t="shared" si="10"/>
        <v>1.429769225940845</v>
      </c>
      <c r="AE11" s="6">
        <f t="shared" si="11"/>
        <v>2.3791355706596278</v>
      </c>
      <c r="AF11" s="6">
        <f t="shared" si="14"/>
        <v>-7.7819015858210223</v>
      </c>
      <c r="AG11" s="6">
        <f t="shared" si="15"/>
        <v>0.53756970963600992</v>
      </c>
      <c r="AH11" s="6">
        <f t="shared" si="16"/>
        <v>3.5363454600963564</v>
      </c>
      <c r="AI11" s="6">
        <f t="shared" si="17"/>
        <v>1.7668622078968466</v>
      </c>
    </row>
    <row r="12" spans="2:35" x14ac:dyDescent="0.2">
      <c r="B12" t="s">
        <v>76</v>
      </c>
      <c r="C12" s="6">
        <v>561170.97269354202</v>
      </c>
      <c r="D12" s="6">
        <v>371910.359041786</v>
      </c>
      <c r="E12" s="6">
        <v>100740.85025261399</v>
      </c>
      <c r="F12" s="6">
        <v>727989.18726691091</v>
      </c>
      <c r="G12" s="6">
        <f t="shared" si="1"/>
        <v>129.72680745988424</v>
      </c>
      <c r="H12" s="6">
        <v>39720410.613046616</v>
      </c>
      <c r="I12" s="6">
        <f t="shared" si="2"/>
        <v>1.0233021581416917</v>
      </c>
      <c r="J12" s="9">
        <v>8.3687089356603472</v>
      </c>
      <c r="K12" s="6">
        <v>138.74892984913001</v>
      </c>
      <c r="L12">
        <f t="shared" si="3"/>
        <v>106.95470933564421</v>
      </c>
      <c r="M12" s="6">
        <v>10158.197561111483</v>
      </c>
      <c r="N12" s="6">
        <f t="shared" si="18"/>
        <v>1.0971724523243458</v>
      </c>
      <c r="O12" s="7">
        <v>45.073900000000002</v>
      </c>
      <c r="P12" s="8">
        <f t="shared" si="4"/>
        <v>109.90926625392281</v>
      </c>
      <c r="S12" s="6">
        <f t="shared" si="5"/>
        <v>1280.3373325789198</v>
      </c>
      <c r="T12" s="6">
        <f t="shared" si="6"/>
        <v>1149.7271851223354</v>
      </c>
      <c r="U12" s="6">
        <f t="shared" si="7"/>
        <v>1321.4746094122986</v>
      </c>
      <c r="V12" s="6">
        <f t="shared" si="0"/>
        <v>16.418655159442004</v>
      </c>
      <c r="W12" s="6">
        <f t="shared" si="12"/>
        <v>11.130726577962058</v>
      </c>
      <c r="X12" s="6">
        <f t="shared" si="13"/>
        <v>467.240546761784</v>
      </c>
      <c r="Y12" s="6">
        <f t="shared" si="8"/>
        <v>2.0921772339150868</v>
      </c>
      <c r="AB12">
        <f t="shared" si="19"/>
        <v>9</v>
      </c>
      <c r="AC12" s="6">
        <f t="shared" si="9"/>
        <v>4.827815624930281</v>
      </c>
      <c r="AD12" s="6">
        <f t="shared" si="10"/>
        <v>3.0723383924084828</v>
      </c>
      <c r="AE12" s="6">
        <f t="shared" si="11"/>
        <v>0.94822145005241509</v>
      </c>
      <c r="AF12" s="6">
        <f t="shared" si="14"/>
        <v>1.8626234782571611</v>
      </c>
      <c r="AG12" s="6">
        <f t="shared" si="15"/>
        <v>11.130726577962058</v>
      </c>
      <c r="AH12" s="6">
        <f t="shared" si="16"/>
        <v>-6.3787128696483251</v>
      </c>
      <c r="AI12" s="6">
        <f t="shared" si="17"/>
        <v>2.0921772339150868</v>
      </c>
    </row>
    <row r="13" spans="2:35" x14ac:dyDescent="0.2">
      <c r="B13" t="s">
        <v>57</v>
      </c>
      <c r="C13" s="6">
        <v>577074.9473486176</v>
      </c>
      <c r="D13" s="6">
        <v>381137.96080946701</v>
      </c>
      <c r="E13" s="6">
        <v>103927.565274757</v>
      </c>
      <c r="F13" s="6">
        <v>729299.49800619599</v>
      </c>
      <c r="G13" s="6">
        <f t="shared" si="1"/>
        <v>126.3786448115582</v>
      </c>
      <c r="H13" s="6">
        <v>39818950.080504946</v>
      </c>
      <c r="I13" s="6">
        <f t="shared" si="2"/>
        <v>1.0258407937740011</v>
      </c>
      <c r="J13" s="9">
        <v>9.8867035640098262</v>
      </c>
      <c r="K13" s="6">
        <v>146.42045164618969</v>
      </c>
      <c r="L13">
        <f t="shared" si="3"/>
        <v>115.85853912622311</v>
      </c>
      <c r="M13" s="6">
        <v>10160.374480743043</v>
      </c>
      <c r="N13" s="6">
        <f t="shared" si="18"/>
        <v>1.0974075783136075</v>
      </c>
      <c r="O13" s="7">
        <v>45.073900000000002</v>
      </c>
      <c r="P13" s="8">
        <f t="shared" si="4"/>
        <v>109.90926625392281</v>
      </c>
      <c r="S13" s="6">
        <f t="shared" si="5"/>
        <v>1282.5404127479937</v>
      </c>
      <c r="T13" s="6">
        <f t="shared" si="6"/>
        <v>1152.5936884772559</v>
      </c>
      <c r="U13" s="6">
        <f t="shared" si="7"/>
        <v>1324.0214865525863</v>
      </c>
      <c r="V13" s="6">
        <f t="shared" si="0"/>
        <v>16.19230755589648</v>
      </c>
      <c r="W13" s="6">
        <f t="shared" si="12"/>
        <v>-2.6148240004415513</v>
      </c>
      <c r="X13" s="6">
        <f t="shared" si="13"/>
        <v>475.23699566318214</v>
      </c>
      <c r="Y13" s="6">
        <f t="shared" si="8"/>
        <v>2.4716758910024565</v>
      </c>
      <c r="AB13">
        <f t="shared" si="19"/>
        <v>10</v>
      </c>
      <c r="AC13" s="6">
        <f t="shared" si="9"/>
        <v>2.2030801690739281</v>
      </c>
      <c r="AD13" s="6">
        <f t="shared" si="10"/>
        <v>2.8665033549204963</v>
      </c>
      <c r="AE13" s="6">
        <f t="shared" si="11"/>
        <v>2.5468771402877337</v>
      </c>
      <c r="AF13" s="6">
        <f t="shared" si="14"/>
        <v>1.6362758747116377</v>
      </c>
      <c r="AG13" s="6">
        <f t="shared" si="15"/>
        <v>-2.6148240004415513</v>
      </c>
      <c r="AH13" s="6">
        <f t="shared" si="16"/>
        <v>7.9964489013981392</v>
      </c>
      <c r="AI13" s="6">
        <f t="shared" si="17"/>
        <v>2.4716758910024565</v>
      </c>
    </row>
    <row r="14" spans="2:35" x14ac:dyDescent="0.2">
      <c r="B14" t="s">
        <v>64</v>
      </c>
      <c r="C14" s="6">
        <v>589452.33611095417</v>
      </c>
      <c r="D14" s="6">
        <v>380938.55637881201</v>
      </c>
      <c r="E14" s="6">
        <v>106811.10755084601</v>
      </c>
      <c r="F14" s="6">
        <v>762766.02207522606</v>
      </c>
      <c r="G14" s="6">
        <f t="shared" si="1"/>
        <v>129.40249369571563</v>
      </c>
      <c r="H14" s="6">
        <v>39917734.007335603</v>
      </c>
      <c r="I14" s="6">
        <f t="shared" si="2"/>
        <v>1.0283857273221533</v>
      </c>
      <c r="J14" s="9">
        <v>9.83812190289167</v>
      </c>
      <c r="K14" s="6">
        <v>151.9653923130567</v>
      </c>
      <c r="L14">
        <f t="shared" si="3"/>
        <v>117.43621623737542</v>
      </c>
      <c r="M14" s="6">
        <v>10297.90797301288</v>
      </c>
      <c r="N14" s="6">
        <f t="shared" si="18"/>
        <v>1.1122623749527385</v>
      </c>
      <c r="O14" s="7">
        <v>43.216999999999999</v>
      </c>
      <c r="P14" s="8">
        <f t="shared" si="4"/>
        <v>105.38135727540288</v>
      </c>
      <c r="S14" s="6">
        <f t="shared" si="5"/>
        <v>1282.2403053970961</v>
      </c>
      <c r="T14" s="6">
        <f t="shared" si="6"/>
        <v>1155.0826885599711</v>
      </c>
      <c r="U14" s="6">
        <f t="shared" si="7"/>
        <v>1325.8958823131395</v>
      </c>
      <c r="V14" s="6">
        <f t="shared" si="0"/>
        <v>13.082135743958318</v>
      </c>
      <c r="W14" s="6">
        <f t="shared" si="12"/>
        <v>2.3645134936361778</v>
      </c>
      <c r="X14" s="6">
        <f t="shared" si="13"/>
        <v>476.58953456599738</v>
      </c>
      <c r="Y14" s="6">
        <f t="shared" si="8"/>
        <v>2.4595304757229175</v>
      </c>
      <c r="AB14">
        <f t="shared" si="19"/>
        <v>11</v>
      </c>
      <c r="AC14" s="6">
        <f t="shared" si="9"/>
        <v>-0.3001073508976333</v>
      </c>
      <c r="AD14" s="6">
        <f t="shared" si="10"/>
        <v>2.4890000827151653</v>
      </c>
      <c r="AE14" s="6">
        <f t="shared" si="11"/>
        <v>1.8743957605531705</v>
      </c>
      <c r="AF14" s="6">
        <f t="shared" si="14"/>
        <v>-1.4738959372265246</v>
      </c>
      <c r="AG14" s="6">
        <f t="shared" si="15"/>
        <v>2.3645134936361778</v>
      </c>
      <c r="AH14" s="6">
        <f t="shared" si="16"/>
        <v>1.3525389028152404</v>
      </c>
      <c r="AI14" s="6">
        <f t="shared" si="17"/>
        <v>2.4595304757229175</v>
      </c>
    </row>
    <row r="15" spans="2:35" x14ac:dyDescent="0.2">
      <c r="B15" t="s">
        <v>69</v>
      </c>
      <c r="C15" s="6">
        <v>603536.53953781037</v>
      </c>
      <c r="D15" s="6">
        <v>392656.48746905703</v>
      </c>
      <c r="E15" s="6">
        <v>116267.721899204</v>
      </c>
      <c r="F15" s="6">
        <v>774387.78784127673</v>
      </c>
      <c r="G15" s="6">
        <f t="shared" si="1"/>
        <v>128.30835204017717</v>
      </c>
      <c r="H15" s="6">
        <v>40016763</v>
      </c>
      <c r="I15" s="6">
        <f t="shared" si="2"/>
        <v>1.0309369744101877</v>
      </c>
      <c r="J15" s="9">
        <v>9.5659001219081787</v>
      </c>
      <c r="K15" s="6">
        <v>156.61452456953</v>
      </c>
      <c r="L15">
        <f t="shared" si="3"/>
        <v>122.06105220686594</v>
      </c>
      <c r="M15" s="6">
        <v>10242.186657752387</v>
      </c>
      <c r="N15" s="6">
        <f t="shared" si="18"/>
        <v>1.1062439950439702</v>
      </c>
      <c r="O15" s="7">
        <v>42.2864</v>
      </c>
      <c r="P15" s="8">
        <f t="shared" si="4"/>
        <v>103.11216017517634</v>
      </c>
      <c r="S15" s="6">
        <f t="shared" si="5"/>
        <v>1285.0222358312576</v>
      </c>
      <c r="T15" s="6">
        <f t="shared" si="6"/>
        <v>1163.3182685652296</v>
      </c>
      <c r="U15" s="6">
        <f t="shared" si="7"/>
        <v>1328.0093791108015</v>
      </c>
      <c r="V15" s="6">
        <f t="shared" si="0"/>
        <v>10.11495600159693</v>
      </c>
      <c r="W15" s="6">
        <f t="shared" si="12"/>
        <v>-0.84912858560564075</v>
      </c>
      <c r="X15" s="6">
        <f t="shared" si="13"/>
        <v>480.45213474860907</v>
      </c>
      <c r="Y15" s="6">
        <f t="shared" si="8"/>
        <v>2.3914750304770447</v>
      </c>
      <c r="AB15">
        <f t="shared" si="19"/>
        <v>12</v>
      </c>
      <c r="AC15" s="6">
        <f t="shared" si="9"/>
        <v>2.7819304341614952</v>
      </c>
      <c r="AD15" s="6">
        <f t="shared" si="10"/>
        <v>8.2355800052584982</v>
      </c>
      <c r="AE15" s="6">
        <f t="shared" si="11"/>
        <v>2.1134967976620374</v>
      </c>
      <c r="AF15" s="6">
        <f t="shared" si="14"/>
        <v>-4.4410756795879127</v>
      </c>
      <c r="AG15" s="6">
        <f t="shared" si="15"/>
        <v>-0.84912858560564075</v>
      </c>
      <c r="AH15" s="6">
        <f t="shared" si="16"/>
        <v>3.8626001826116863</v>
      </c>
      <c r="AI15" s="6">
        <f t="shared" si="17"/>
        <v>2.3914750304770447</v>
      </c>
    </row>
    <row r="16" spans="2:35" x14ac:dyDescent="0.2">
      <c r="B16" t="s">
        <v>77</v>
      </c>
      <c r="C16" s="6">
        <v>616075.60945719469</v>
      </c>
      <c r="D16" s="6">
        <v>402306.48918743897</v>
      </c>
      <c r="E16" s="6">
        <v>121508.75049109499</v>
      </c>
      <c r="F16" s="6">
        <v>904350.3880930806</v>
      </c>
      <c r="G16" s="6">
        <f t="shared" si="1"/>
        <v>146.79211028819594</v>
      </c>
      <c r="H16" s="6">
        <v>40118222.731179386</v>
      </c>
      <c r="I16" s="6">
        <f t="shared" si="2"/>
        <v>1.0335508437100747</v>
      </c>
      <c r="J16" s="9">
        <v>9.4181694143989034</v>
      </c>
      <c r="K16" s="6">
        <v>163.83995645690769</v>
      </c>
      <c r="L16">
        <f t="shared" si="3"/>
        <v>111.61359839792604</v>
      </c>
      <c r="M16" s="6">
        <v>10387.810632884864</v>
      </c>
      <c r="N16" s="6">
        <f t="shared" si="18"/>
        <v>1.1219726332154687</v>
      </c>
      <c r="O16" s="7">
        <v>45.514299999999999</v>
      </c>
      <c r="P16" s="8">
        <f t="shared" si="4"/>
        <v>110.98314805377211</v>
      </c>
      <c r="S16" s="6">
        <f t="shared" si="5"/>
        <v>1287.1969193442392</v>
      </c>
      <c r="T16" s="6">
        <f t="shared" si="6"/>
        <v>1167.4741265086998</v>
      </c>
      <c r="U16" s="6">
        <f t="shared" si="7"/>
        <v>1329.8124683023482</v>
      </c>
      <c r="V16" s="6">
        <f t="shared" si="0"/>
        <v>18.629630560738377</v>
      </c>
      <c r="W16" s="6">
        <f t="shared" si="12"/>
        <v>13.458100286142471</v>
      </c>
      <c r="X16" s="6">
        <f t="shared" si="13"/>
        <v>471.50428919679513</v>
      </c>
      <c r="Y16" s="6">
        <f t="shared" si="8"/>
        <v>2.3545423535997259</v>
      </c>
      <c r="AB16">
        <f t="shared" si="19"/>
        <v>13</v>
      </c>
      <c r="AC16" s="6">
        <f t="shared" si="9"/>
        <v>2.1746835129815736</v>
      </c>
      <c r="AD16" s="6">
        <f t="shared" si="10"/>
        <v>4.1558579434702096</v>
      </c>
      <c r="AE16" s="6">
        <f t="shared" si="11"/>
        <v>1.8030891915466327</v>
      </c>
      <c r="AF16" s="6">
        <f t="shared" si="14"/>
        <v>4.0735988795535345</v>
      </c>
      <c r="AG16" s="6">
        <f t="shared" si="15"/>
        <v>13.458100286142471</v>
      </c>
      <c r="AH16" s="6">
        <f t="shared" si="16"/>
        <v>-8.9478455518139413</v>
      </c>
      <c r="AI16" s="6">
        <f t="shared" si="17"/>
        <v>2.3545423535997259</v>
      </c>
    </row>
    <row r="17" spans="2:35" x14ac:dyDescent="0.2">
      <c r="B17" t="s">
        <v>58</v>
      </c>
      <c r="C17" s="6">
        <v>624421.53581424942</v>
      </c>
      <c r="D17" s="6">
        <v>412291.09902325098</v>
      </c>
      <c r="E17" s="6">
        <v>125653.45659052501</v>
      </c>
      <c r="F17" s="6">
        <v>914103.9674019193</v>
      </c>
      <c r="G17" s="6">
        <f t="shared" si="1"/>
        <v>146.39212694833185</v>
      </c>
      <c r="H17" s="6">
        <v>40219939.706480466</v>
      </c>
      <c r="I17" s="6">
        <f t="shared" si="2"/>
        <v>1.0361713402945447</v>
      </c>
      <c r="J17" s="9">
        <v>10.190292093408727</v>
      </c>
      <c r="K17" s="6">
        <v>173.60540206489509</v>
      </c>
      <c r="L17">
        <f t="shared" si="3"/>
        <v>118.58930236471528</v>
      </c>
      <c r="M17" s="7">
        <f>AVERAGE(M14:M16)</f>
        <v>10309.301754550042</v>
      </c>
      <c r="N17" s="6">
        <f t="shared" si="18"/>
        <v>1.1134930010707258</v>
      </c>
      <c r="O17" s="7">
        <v>44.316499999999998</v>
      </c>
      <c r="P17" s="8">
        <f t="shared" si="4"/>
        <v>108.06240413946809</v>
      </c>
      <c r="S17" s="6">
        <f t="shared" si="5"/>
        <v>1289.395241332214</v>
      </c>
      <c r="T17" s="6">
        <f t="shared" si="6"/>
        <v>1170.5750535720083</v>
      </c>
      <c r="U17" s="6">
        <f t="shared" si="7"/>
        <v>1330.9048440895062</v>
      </c>
      <c r="V17" s="6">
        <f t="shared" si="0"/>
        <v>14.950809599675694</v>
      </c>
      <c r="W17" s="6">
        <f t="shared" si="12"/>
        <v>-0.27285476994922675</v>
      </c>
      <c r="X17" s="6">
        <f t="shared" si="13"/>
        <v>477.56662832097192</v>
      </c>
      <c r="Y17" s="6">
        <f t="shared" si="8"/>
        <v>2.5475730233521818</v>
      </c>
      <c r="AB17">
        <f t="shared" si="19"/>
        <v>14</v>
      </c>
      <c r="AC17" s="6">
        <f t="shared" si="9"/>
        <v>2.1983219879748503</v>
      </c>
      <c r="AD17" s="6">
        <f t="shared" si="10"/>
        <v>3.100927063308518</v>
      </c>
      <c r="AE17" s="6">
        <f t="shared" si="11"/>
        <v>1.0923757871580619</v>
      </c>
      <c r="AF17" s="6">
        <f t="shared" si="14"/>
        <v>0.39477791849085087</v>
      </c>
      <c r="AG17" s="6">
        <f t="shared" si="15"/>
        <v>-0.27285476994922675</v>
      </c>
      <c r="AH17" s="6">
        <f t="shared" si="16"/>
        <v>6.0623391241767877</v>
      </c>
      <c r="AI17" s="6">
        <f t="shared" si="17"/>
        <v>2.5475730233521818</v>
      </c>
    </row>
    <row r="18" spans="2:35" x14ac:dyDescent="0.2">
      <c r="B18" t="s">
        <v>49</v>
      </c>
      <c r="C18" s="6">
        <v>643736.32577510865</v>
      </c>
      <c r="D18" s="6">
        <v>419152.07533722301</v>
      </c>
      <c r="E18" s="6">
        <v>129140.03178683401</v>
      </c>
      <c r="F18" s="6">
        <v>995078.55295133556</v>
      </c>
      <c r="G18" s="6">
        <f t="shared" si="1"/>
        <v>154.57859267972543</v>
      </c>
      <c r="H18" s="6">
        <v>40321914.578127891</v>
      </c>
      <c r="I18" s="6">
        <f t="shared" si="2"/>
        <v>1.0387984809666193</v>
      </c>
      <c r="J18" s="9">
        <v>10.616888823991918</v>
      </c>
      <c r="K18" s="6">
        <v>182.2142342822477</v>
      </c>
      <c r="L18">
        <f t="shared" si="3"/>
        <v>117.87805227324144</v>
      </c>
      <c r="M18" s="6">
        <v>10374.441846255271</v>
      </c>
      <c r="N18" s="6">
        <f t="shared" si="18"/>
        <v>1.1205286896100455</v>
      </c>
      <c r="O18" s="7">
        <v>41.991199999999999</v>
      </c>
      <c r="P18" s="8">
        <f t="shared" si="4"/>
        <v>102.39233749734822</v>
      </c>
      <c r="S18" s="6">
        <f t="shared" si="5"/>
        <v>1290.7924342844233</v>
      </c>
      <c r="T18" s="6">
        <f t="shared" si="6"/>
        <v>1173.0587873813761</v>
      </c>
      <c r="U18" s="6">
        <f t="shared" si="7"/>
        <v>1333.6979750710982</v>
      </c>
      <c r="V18" s="6">
        <f t="shared" si="0"/>
        <v>9.9377574404743463</v>
      </c>
      <c r="W18" s="6">
        <f t="shared" si="12"/>
        <v>5.4413835076505102</v>
      </c>
      <c r="X18" s="6">
        <f t="shared" si="13"/>
        <v>476.9650634771005</v>
      </c>
      <c r="Y18" s="6">
        <f t="shared" si="8"/>
        <v>2.6542222059979794</v>
      </c>
      <c r="AB18">
        <f t="shared" si="19"/>
        <v>15</v>
      </c>
      <c r="AC18" s="6">
        <f t="shared" si="9"/>
        <v>1.3971929522092523</v>
      </c>
      <c r="AD18" s="6">
        <f t="shared" si="10"/>
        <v>2.4837338093677772</v>
      </c>
      <c r="AE18" s="6">
        <f t="shared" si="11"/>
        <v>2.7931309815919576</v>
      </c>
      <c r="AF18" s="6">
        <f t="shared" si="14"/>
        <v>-4.6182742407104964</v>
      </c>
      <c r="AG18" s="6">
        <f t="shared" si="15"/>
        <v>5.4413835076505102</v>
      </c>
      <c r="AH18" s="6">
        <f t="shared" si="16"/>
        <v>-0.60156484387141518</v>
      </c>
      <c r="AI18" s="6">
        <f t="shared" si="17"/>
        <v>2.6542222059979794</v>
      </c>
    </row>
    <row r="19" spans="2:35" x14ac:dyDescent="0.2">
      <c r="B19" t="s">
        <v>70</v>
      </c>
      <c r="C19" s="6">
        <v>650156.81326832587</v>
      </c>
      <c r="D19" s="6">
        <v>436284.46883608098</v>
      </c>
      <c r="E19" s="6">
        <v>139051.49402923</v>
      </c>
      <c r="F19" s="6">
        <v>1032356.8732593583</v>
      </c>
      <c r="G19" s="6">
        <f t="shared" si="1"/>
        <v>158.7858270791196</v>
      </c>
      <c r="H19" s="6">
        <v>40424148</v>
      </c>
      <c r="I19" s="6">
        <f t="shared" si="2"/>
        <v>1.0414322825719222</v>
      </c>
      <c r="J19" s="9">
        <v>10.696155604293356</v>
      </c>
      <c r="K19" s="6">
        <v>180.77640508683103</v>
      </c>
      <c r="L19">
        <f t="shared" si="3"/>
        <v>113.84920708115467</v>
      </c>
      <c r="M19" s="6">
        <v>10364.328622430012</v>
      </c>
      <c r="N19" s="6">
        <f t="shared" si="18"/>
        <v>1.1194363747068836</v>
      </c>
      <c r="O19" s="7">
        <v>43.907600000000002</v>
      </c>
      <c r="P19" s="8">
        <f t="shared" si="4"/>
        <v>107.06533268633824</v>
      </c>
      <c r="S19" s="6">
        <f t="shared" si="5"/>
        <v>1294.5452800565117</v>
      </c>
      <c r="T19" s="6">
        <f t="shared" si="6"/>
        <v>1180.2002643680132</v>
      </c>
      <c r="U19" s="6">
        <f t="shared" si="7"/>
        <v>1334.4371903486435</v>
      </c>
      <c r="V19" s="6">
        <f t="shared" si="0"/>
        <v>14.049740929668564</v>
      </c>
      <c r="W19" s="6">
        <f t="shared" si="12"/>
        <v>2.685363721620071</v>
      </c>
      <c r="X19" s="6">
        <f t="shared" si="13"/>
        <v>473.48748278930907</v>
      </c>
      <c r="Y19" s="6">
        <f t="shared" si="8"/>
        <v>2.674038901073339</v>
      </c>
      <c r="AB19">
        <f t="shared" si="19"/>
        <v>16</v>
      </c>
      <c r="AC19" s="6">
        <f t="shared" si="9"/>
        <v>3.7528457720884489</v>
      </c>
      <c r="AD19" s="6">
        <f t="shared" si="10"/>
        <v>7.1414769866371444</v>
      </c>
      <c r="AE19" s="6">
        <f t="shared" si="11"/>
        <v>0.7392152775453269</v>
      </c>
      <c r="AF19" s="6">
        <f t="shared" si="14"/>
        <v>-0.50629075151627845</v>
      </c>
      <c r="AG19" s="6">
        <f t="shared" si="15"/>
        <v>2.685363721620071</v>
      </c>
      <c r="AH19" s="6">
        <f t="shared" si="16"/>
        <v>-3.4775806877914306</v>
      </c>
      <c r="AI19" s="6">
        <f t="shared" si="17"/>
        <v>2.674038901073339</v>
      </c>
    </row>
    <row r="20" spans="2:35" x14ac:dyDescent="0.2">
      <c r="B20" t="s">
        <v>78</v>
      </c>
      <c r="C20" s="6">
        <v>653370.04317222571</v>
      </c>
      <c r="D20" s="6">
        <v>443408.05272748403</v>
      </c>
      <c r="E20" s="6">
        <v>142264.02927432899</v>
      </c>
      <c r="F20" s="6">
        <v>1213883.4109890296</v>
      </c>
      <c r="G20" s="6">
        <f t="shared" si="1"/>
        <v>185.78804211705415</v>
      </c>
      <c r="H20" s="6">
        <v>40531391.228382155</v>
      </c>
      <c r="I20" s="6">
        <f t="shared" si="2"/>
        <v>1.0441951499581295</v>
      </c>
      <c r="J20" s="9">
        <v>10.897995867313453</v>
      </c>
      <c r="K20" s="6">
        <v>193.4447235183726</v>
      </c>
      <c r="L20">
        <f t="shared" si="3"/>
        <v>104.12119171614631</v>
      </c>
      <c r="M20" s="6">
        <v>10437.99984339217</v>
      </c>
      <c r="N20" s="6">
        <f t="shared" si="18"/>
        <v>1.1273934983680951</v>
      </c>
      <c r="O20" s="7">
        <v>44.798699999999997</v>
      </c>
      <c r="P20" s="8">
        <f t="shared" si="4"/>
        <v>109.23821205020225</v>
      </c>
      <c r="S20" s="6">
        <f t="shared" si="5"/>
        <v>1295.8999340076014</v>
      </c>
      <c r="T20" s="6">
        <f t="shared" si="6"/>
        <v>1182.2193573958805</v>
      </c>
      <c r="U20" s="6">
        <f t="shared" si="7"/>
        <v>1334.6652532249641</v>
      </c>
      <c r="V20" s="6">
        <f t="shared" si="0"/>
        <v>16.502267579589727</v>
      </c>
      <c r="W20" s="6">
        <f t="shared" si="12"/>
        <v>15.705017071372662</v>
      </c>
      <c r="X20" s="6">
        <f t="shared" si="13"/>
        <v>464.55555256634983</v>
      </c>
      <c r="Y20" s="6">
        <f t="shared" si="8"/>
        <v>2.7244989668283632</v>
      </c>
      <c r="AB20">
        <f t="shared" si="19"/>
        <v>17</v>
      </c>
      <c r="AC20" s="6">
        <f t="shared" si="9"/>
        <v>1.3546539510896309</v>
      </c>
      <c r="AD20" s="6">
        <f t="shared" si="10"/>
        <v>2.0190930278672568</v>
      </c>
      <c r="AE20" s="6">
        <f t="shared" si="11"/>
        <v>0.2280628763205641</v>
      </c>
      <c r="AF20" s="6">
        <f t="shared" si="14"/>
        <v>1.9462358984048844</v>
      </c>
      <c r="AG20" s="6">
        <f t="shared" si="15"/>
        <v>15.705017071372662</v>
      </c>
      <c r="AH20" s="6">
        <f t="shared" si="16"/>
        <v>-8.9319302229592381</v>
      </c>
      <c r="AI20" s="6">
        <f t="shared" si="17"/>
        <v>2.7244989668283632</v>
      </c>
    </row>
    <row r="21" spans="2:35" x14ac:dyDescent="0.2">
      <c r="B21" t="s">
        <v>79</v>
      </c>
      <c r="C21" s="6">
        <v>657667.74583037221</v>
      </c>
      <c r="D21" s="6">
        <v>435462.45326105302</v>
      </c>
      <c r="E21" s="6">
        <v>134228.98999601899</v>
      </c>
      <c r="F21" s="6">
        <v>1183692.2697064732</v>
      </c>
      <c r="G21" s="6">
        <f t="shared" si="1"/>
        <v>179.98332398252884</v>
      </c>
      <c r="H21" s="6">
        <v>40638918.967647113</v>
      </c>
      <c r="I21" s="6">
        <f t="shared" si="2"/>
        <v>1.0469653470923399</v>
      </c>
      <c r="J21" s="9">
        <v>11.281667121134721</v>
      </c>
      <c r="K21" s="6">
        <v>207.60983574955921</v>
      </c>
      <c r="L21">
        <f t="shared" si="3"/>
        <v>115.34948413871504</v>
      </c>
      <c r="M21" s="6">
        <v>10426.222495345419</v>
      </c>
      <c r="N21" s="6">
        <f t="shared" si="18"/>
        <v>1.1261214437776428</v>
      </c>
      <c r="O21" s="7">
        <v>44.827599999999997</v>
      </c>
      <c r="P21" s="8">
        <f t="shared" si="4"/>
        <v>109.30868249528774</v>
      </c>
      <c r="S21" s="6">
        <f t="shared" si="5"/>
        <v>1293.8268022305858</v>
      </c>
      <c r="T21" s="6">
        <f t="shared" si="6"/>
        <v>1176.1406667017632</v>
      </c>
      <c r="U21" s="6">
        <f t="shared" si="7"/>
        <v>1335.0559303225311</v>
      </c>
      <c r="V21" s="6">
        <f t="shared" si="0"/>
        <v>16.188918737297538</v>
      </c>
      <c r="W21" s="6">
        <f t="shared" si="12"/>
        <v>-3.1742263355310385</v>
      </c>
      <c r="X21" s="6">
        <f t="shared" si="13"/>
        <v>474.79665124703178</v>
      </c>
      <c r="Y21" s="6">
        <f t="shared" si="8"/>
        <v>2.8204167802836801</v>
      </c>
      <c r="AB21">
        <f t="shared" si="19"/>
        <v>18</v>
      </c>
      <c r="AC21" s="6">
        <f t="shared" si="9"/>
        <v>-2.0731317770155329</v>
      </c>
      <c r="AD21" s="6">
        <f t="shared" si="10"/>
        <v>-6.0786906941173129</v>
      </c>
      <c r="AE21" s="6">
        <f t="shared" si="11"/>
        <v>0.39067709756704971</v>
      </c>
      <c r="AF21" s="6">
        <f t="shared" si="14"/>
        <v>1.6328870561126951</v>
      </c>
      <c r="AG21" s="6">
        <f t="shared" si="15"/>
        <v>-3.1742263355310385</v>
      </c>
      <c r="AH21" s="6">
        <f t="shared" si="16"/>
        <v>10.241098680681944</v>
      </c>
      <c r="AI21" s="6">
        <f t="shared" si="17"/>
        <v>2.8204167802836801</v>
      </c>
    </row>
    <row r="22" spans="2:35" x14ac:dyDescent="0.2">
      <c r="B22" t="s">
        <v>50</v>
      </c>
      <c r="C22" s="6">
        <v>627510.03669392434</v>
      </c>
      <c r="D22" s="6">
        <v>429078.59250570397</v>
      </c>
      <c r="E22" s="6">
        <v>119856.54650627699</v>
      </c>
      <c r="F22" s="6">
        <v>1168651.8083796799</v>
      </c>
      <c r="G22" s="6">
        <f t="shared" si="1"/>
        <v>186.2363532122601</v>
      </c>
      <c r="H22" s="6">
        <v>40746731.972587898</v>
      </c>
      <c r="I22" s="6">
        <f t="shared" si="2"/>
        <v>1.0497428934200057</v>
      </c>
      <c r="J22" s="9">
        <v>12.287034474152732</v>
      </c>
      <c r="K22" s="6">
        <v>216.98520782188157</v>
      </c>
      <c r="L22">
        <f t="shared" si="3"/>
        <v>116.51066189777457</v>
      </c>
      <c r="M22" s="6">
        <v>10668.664414380197</v>
      </c>
      <c r="N22" s="6">
        <f t="shared" si="18"/>
        <v>1.1523072501919556</v>
      </c>
      <c r="O22" s="7">
        <v>43.147300000000001</v>
      </c>
      <c r="P22" s="8">
        <f t="shared" si="4"/>
        <v>105.21139914313791</v>
      </c>
      <c r="S22" s="6">
        <f t="shared" si="5"/>
        <v>1292.0850109669229</v>
      </c>
      <c r="T22" s="6">
        <f t="shared" si="6"/>
        <v>1164.5505590091898</v>
      </c>
      <c r="U22" s="6">
        <f t="shared" si="7"/>
        <v>1330.0969673815541</v>
      </c>
      <c r="V22" s="6">
        <f t="shared" si="0"/>
        <v>14.402243149221619</v>
      </c>
      <c r="W22" s="6">
        <f t="shared" si="12"/>
        <v>3.4152381174689772</v>
      </c>
      <c r="X22" s="6">
        <f t="shared" si="13"/>
        <v>475.79827872540318</v>
      </c>
      <c r="Y22" s="6">
        <f t="shared" si="8"/>
        <v>3.0717586185381829</v>
      </c>
      <c r="AB22">
        <f t="shared" si="19"/>
        <v>19</v>
      </c>
      <c r="AC22" s="6">
        <f t="shared" si="9"/>
        <v>-1.7417912636628898</v>
      </c>
      <c r="AD22" s="6">
        <f t="shared" si="10"/>
        <v>-11.590107692573383</v>
      </c>
      <c r="AE22" s="6">
        <f t="shared" si="11"/>
        <v>-4.9589629409770168</v>
      </c>
      <c r="AF22" s="6">
        <f t="shared" si="14"/>
        <v>-0.15378853196322417</v>
      </c>
      <c r="AG22" s="6">
        <f t="shared" si="15"/>
        <v>3.4152381174689772</v>
      </c>
      <c r="AH22" s="6">
        <f t="shared" si="16"/>
        <v>1.0016274783714039</v>
      </c>
      <c r="AI22" s="6">
        <f t="shared" si="17"/>
        <v>3.0717586185381829</v>
      </c>
    </row>
    <row r="23" spans="2:35" x14ac:dyDescent="0.2">
      <c r="B23" t="s">
        <v>51</v>
      </c>
      <c r="C23" s="6">
        <v>604984.05052486621</v>
      </c>
      <c r="D23" s="6">
        <v>410126.16738317802</v>
      </c>
      <c r="E23" s="6">
        <v>103713.66525853401</v>
      </c>
      <c r="F23" s="6">
        <v>1112307.4883262962</v>
      </c>
      <c r="G23" s="6">
        <f t="shared" si="1"/>
        <v>183.85732439744339</v>
      </c>
      <c r="H23" s="6">
        <v>40854831</v>
      </c>
      <c r="I23" s="6">
        <f t="shared" si="2"/>
        <v>1.0525278084381675</v>
      </c>
      <c r="J23" s="9">
        <v>13.299777875082395</v>
      </c>
      <c r="K23" s="6">
        <v>221.79989454407323</v>
      </c>
      <c r="L23">
        <f t="shared" si="3"/>
        <v>120.63696416282529</v>
      </c>
      <c r="M23" s="6">
        <v>10648.120630736936</v>
      </c>
      <c r="N23" s="6">
        <f t="shared" si="18"/>
        <v>1.1500883453769726</v>
      </c>
      <c r="O23" s="7">
        <v>47.9983</v>
      </c>
      <c r="P23" s="8">
        <f t="shared" si="4"/>
        <v>117.04019253793578</v>
      </c>
      <c r="S23" s="6">
        <f t="shared" si="5"/>
        <v>1287.3025409123302</v>
      </c>
      <c r="T23" s="6">
        <f t="shared" si="6"/>
        <v>1149.8194454833706</v>
      </c>
      <c r="U23" s="6">
        <f t="shared" si="7"/>
        <v>1326.1762666352372</v>
      </c>
      <c r="V23" s="6">
        <f t="shared" si="0"/>
        <v>24.599126973053401</v>
      </c>
      <c r="W23" s="6">
        <f t="shared" si="12"/>
        <v>-1.2856537292615045</v>
      </c>
      <c r="X23" s="6">
        <f t="shared" si="13"/>
        <v>479.27857395102018</v>
      </c>
      <c r="Y23" s="6">
        <f t="shared" si="8"/>
        <v>3.3249444687705987</v>
      </c>
      <c r="AB23">
        <f t="shared" si="19"/>
        <v>20</v>
      </c>
      <c r="AC23" s="6">
        <f t="shared" si="9"/>
        <v>-4.7824700545927499</v>
      </c>
      <c r="AD23" s="6">
        <f t="shared" si="10"/>
        <v>-14.731113525819183</v>
      </c>
      <c r="AE23" s="6">
        <f t="shared" si="11"/>
        <v>-3.9207007463169248</v>
      </c>
      <c r="AF23" s="6">
        <f t="shared" si="14"/>
        <v>10.043095291868559</v>
      </c>
      <c r="AG23" s="6">
        <f t="shared" si="15"/>
        <v>-1.2856537292615045</v>
      </c>
      <c r="AH23" s="6">
        <f t="shared" si="16"/>
        <v>3.4802952256169988</v>
      </c>
      <c r="AI23" s="6">
        <f t="shared" si="17"/>
        <v>3.3249444687705987</v>
      </c>
    </row>
    <row r="24" spans="2:35" x14ac:dyDescent="0.2">
      <c r="B24" t="s">
        <v>80</v>
      </c>
      <c r="C24" s="6">
        <v>590520.62462346</v>
      </c>
      <c r="D24" s="6">
        <v>392895.001234581</v>
      </c>
      <c r="E24" s="6">
        <v>97930.833374907001</v>
      </c>
      <c r="F24" s="6">
        <v>1251464.7279338671</v>
      </c>
      <c r="G24" s="6">
        <f t="shared" si="1"/>
        <v>211.92565945208975</v>
      </c>
      <c r="H24" s="6">
        <v>40962867.456839867</v>
      </c>
      <c r="I24" s="6">
        <f t="shared" si="2"/>
        <v>1.05531111147396</v>
      </c>
      <c r="J24" s="9">
        <v>14.445833417350141</v>
      </c>
      <c r="K24" s="6">
        <v>229.5219898286058</v>
      </c>
      <c r="L24">
        <f t="shared" si="3"/>
        <v>108.30306741619179</v>
      </c>
      <c r="M24" s="6">
        <v>10591.755815630024</v>
      </c>
      <c r="N24" s="6">
        <f t="shared" si="18"/>
        <v>1.1440004619661983</v>
      </c>
      <c r="O24" s="7">
        <v>43.141100000000002</v>
      </c>
      <c r="P24" s="8">
        <f t="shared" si="4"/>
        <v>105.19628091616455</v>
      </c>
      <c r="S24" s="6">
        <f t="shared" si="5"/>
        <v>1282.74620668752</v>
      </c>
      <c r="T24" s="6">
        <f t="shared" si="6"/>
        <v>1143.8181110734522</v>
      </c>
      <c r="U24" s="6">
        <f t="shared" si="7"/>
        <v>1323.4924225550847</v>
      </c>
      <c r="V24" s="6">
        <f t="shared" si="0"/>
        <v>13.135344210859982</v>
      </c>
      <c r="W24" s="6">
        <f t="shared" si="12"/>
        <v>14.207550427453075</v>
      </c>
      <c r="X24" s="6">
        <f t="shared" si="13"/>
        <v>468.49334769317181</v>
      </c>
      <c r="Y24" s="6">
        <f t="shared" si="8"/>
        <v>3.6114583543375351</v>
      </c>
      <c r="AB24">
        <f t="shared" si="19"/>
        <v>21</v>
      </c>
      <c r="AC24" s="6">
        <f t="shared" si="9"/>
        <v>-4.5563342248101435</v>
      </c>
      <c r="AD24" s="6">
        <f t="shared" si="10"/>
        <v>-6.0013344099183996</v>
      </c>
      <c r="AE24" s="6">
        <f t="shared" si="11"/>
        <v>-2.6838440801525394</v>
      </c>
      <c r="AF24" s="6">
        <f t="shared" si="14"/>
        <v>-1.4206874703248609</v>
      </c>
      <c r="AG24" s="6">
        <f t="shared" si="15"/>
        <v>14.207550427453075</v>
      </c>
      <c r="AH24" s="6">
        <f t="shared" si="16"/>
        <v>-10.785226257848365</v>
      </c>
      <c r="AI24" s="6">
        <f t="shared" si="17"/>
        <v>3.6114583543375351</v>
      </c>
    </row>
    <row r="25" spans="2:35" x14ac:dyDescent="0.2">
      <c r="B25" t="s">
        <v>81</v>
      </c>
      <c r="C25" s="6">
        <v>613784.10582940001</v>
      </c>
      <c r="D25" s="6">
        <v>426603.35311914899</v>
      </c>
      <c r="E25" s="6">
        <v>103383.801871528</v>
      </c>
      <c r="F25" s="6">
        <v>1269734.7452670829</v>
      </c>
      <c r="G25" s="6">
        <f t="shared" si="1"/>
        <v>206.86992921579548</v>
      </c>
      <c r="H25" s="6">
        <v>41071189.605132133</v>
      </c>
      <c r="I25" s="6">
        <f t="shared" si="2"/>
        <v>1.0581017746723311</v>
      </c>
      <c r="J25" s="9">
        <v>14.400548633667723</v>
      </c>
      <c r="K25" s="6">
        <v>242.82304382090635</v>
      </c>
      <c r="L25">
        <f t="shared" si="3"/>
        <v>117.37957505056549</v>
      </c>
      <c r="M25" s="6">
        <v>10526.052519999392</v>
      </c>
      <c r="N25" s="6">
        <f t="shared" si="18"/>
        <v>1.1369039425729524</v>
      </c>
      <c r="O25" s="7">
        <v>44.579900000000002</v>
      </c>
      <c r="P25" s="8">
        <f t="shared" si="4"/>
        <v>108.70468494346514</v>
      </c>
      <c r="S25" s="6">
        <f t="shared" si="5"/>
        <v>1290.7133420937544</v>
      </c>
      <c r="T25" s="6">
        <f t="shared" si="6"/>
        <v>1148.9727049618452</v>
      </c>
      <c r="U25" s="6">
        <f t="shared" si="7"/>
        <v>1327.0922001974307</v>
      </c>
      <c r="V25" s="6">
        <f t="shared" si="0"/>
        <v>15.529691078838786</v>
      </c>
      <c r="W25" s="6">
        <f t="shared" si="12"/>
        <v>-2.4145315726205929</v>
      </c>
      <c r="X25" s="6">
        <f t="shared" si="13"/>
        <v>476.54129148353877</v>
      </c>
      <c r="Y25" s="6">
        <f t="shared" si="8"/>
        <v>3.6001371584169308</v>
      </c>
      <c r="AB25">
        <f t="shared" si="19"/>
        <v>22</v>
      </c>
      <c r="AC25" s="6">
        <f t="shared" si="9"/>
        <v>7.9671354062343198</v>
      </c>
      <c r="AD25" s="6">
        <f t="shared" si="10"/>
        <v>5.1545938883930376</v>
      </c>
      <c r="AE25" s="6">
        <f t="shared" si="11"/>
        <v>3.5997776423459982</v>
      </c>
      <c r="AF25" s="6">
        <f t="shared" si="14"/>
        <v>0.97365939765394316</v>
      </c>
      <c r="AG25" s="6">
        <f t="shared" si="15"/>
        <v>-2.4145315726205929</v>
      </c>
      <c r="AH25" s="6">
        <f t="shared" si="16"/>
        <v>8.0479437903669577</v>
      </c>
      <c r="AI25" s="6">
        <f t="shared" si="17"/>
        <v>3.6001371584169308</v>
      </c>
    </row>
    <row r="26" spans="2:35" x14ac:dyDescent="0.2">
      <c r="B26" t="s">
        <v>59</v>
      </c>
      <c r="C26" s="6">
        <v>626202.7246737713</v>
      </c>
      <c r="D26" s="6">
        <v>420461.38766374701</v>
      </c>
      <c r="E26" s="6">
        <v>109517.467644226</v>
      </c>
      <c r="F26" s="6">
        <v>1358210.1141728326</v>
      </c>
      <c r="G26" s="6">
        <f t="shared" si="1"/>
        <v>216.89623194795428</v>
      </c>
      <c r="H26" s="6">
        <v>41179798.20035889</v>
      </c>
      <c r="I26" s="6">
        <f t="shared" si="2"/>
        <v>1.060899817496485</v>
      </c>
      <c r="J26" s="9">
        <v>13.690170028030954</v>
      </c>
      <c r="K26" s="6">
        <v>253.71108477862762</v>
      </c>
      <c r="L26">
        <f t="shared" si="3"/>
        <v>116.97348658390125</v>
      </c>
      <c r="M26" s="6">
        <v>10690.038550082007</v>
      </c>
      <c r="N26" s="6">
        <f t="shared" si="18"/>
        <v>1.1546158401502808</v>
      </c>
      <c r="O26" s="7">
        <v>43.141100000000002</v>
      </c>
      <c r="P26" s="8">
        <f t="shared" si="4"/>
        <v>105.19628091616455</v>
      </c>
      <c r="S26" s="6">
        <f t="shared" si="5"/>
        <v>1288.99904969043</v>
      </c>
      <c r="T26" s="6">
        <f t="shared" si="6"/>
        <v>1154.4721904925502</v>
      </c>
      <c r="U26" s="6">
        <f t="shared" si="7"/>
        <v>1328.8312006532844</v>
      </c>
      <c r="V26" s="6">
        <f t="shared" si="0"/>
        <v>13.5308011444298</v>
      </c>
      <c r="W26" s="6">
        <f t="shared" si="12"/>
        <v>4.7328810893786155</v>
      </c>
      <c r="X26" s="6">
        <f t="shared" si="13"/>
        <v>476.1947298723735</v>
      </c>
      <c r="Y26" s="6">
        <f t="shared" si="8"/>
        <v>3.4225425070077384</v>
      </c>
      <c r="AB26">
        <f t="shared" si="19"/>
        <v>23</v>
      </c>
      <c r="AC26" s="6">
        <f t="shared" si="9"/>
        <v>-1.7142924033244071</v>
      </c>
      <c r="AD26" s="6">
        <f t="shared" si="10"/>
        <v>5.4994855307049875</v>
      </c>
      <c r="AE26" s="6">
        <f t="shared" si="11"/>
        <v>1.7390004558537839</v>
      </c>
      <c r="AF26" s="6">
        <f t="shared" si="14"/>
        <v>-1.0252305367550427</v>
      </c>
      <c r="AG26" s="6">
        <f t="shared" si="15"/>
        <v>4.7328810893786155</v>
      </c>
      <c r="AH26" s="6">
        <f t="shared" si="16"/>
        <v>-0.34656161116527073</v>
      </c>
      <c r="AI26" s="6">
        <f t="shared" si="17"/>
        <v>3.4225425070077384</v>
      </c>
    </row>
    <row r="27" spans="2:35" x14ac:dyDescent="0.2">
      <c r="B27" t="s">
        <v>71</v>
      </c>
      <c r="C27" s="6">
        <v>645567.1335175815</v>
      </c>
      <c r="D27" s="6">
        <v>440942.97641085298</v>
      </c>
      <c r="E27" s="6">
        <v>118311.464824964</v>
      </c>
      <c r="F27" s="6">
        <v>1418857.9499665094</v>
      </c>
      <c r="G27" s="6">
        <f t="shared" si="1"/>
        <v>219.78472513546384</v>
      </c>
      <c r="H27" s="6">
        <v>41288694</v>
      </c>
      <c r="I27" s="6">
        <f t="shared" si="2"/>
        <v>1.0637052594610932</v>
      </c>
      <c r="J27" s="9">
        <v>12.963200079421444</v>
      </c>
      <c r="K27" s="6">
        <v>265.01641370473476</v>
      </c>
      <c r="L27">
        <f t="shared" si="3"/>
        <v>120.57999642213191</v>
      </c>
      <c r="M27" s="6">
        <v>10684.617221817469</v>
      </c>
      <c r="N27" s="6">
        <f t="shared" si="18"/>
        <v>1.1540302902049215</v>
      </c>
      <c r="O27" s="7">
        <v>41.010100000000001</v>
      </c>
      <c r="P27" s="8">
        <f t="shared" si="4"/>
        <v>100</v>
      </c>
      <c r="S27" s="6">
        <f t="shared" si="5"/>
        <v>1293.4912500117623</v>
      </c>
      <c r="T27" s="6">
        <f t="shared" si="6"/>
        <v>1161.9317617655031</v>
      </c>
      <c r="U27" s="6">
        <f t="shared" si="7"/>
        <v>1331.6126145452067</v>
      </c>
      <c r="V27" s="6">
        <f t="shared" si="0"/>
        <v>8.1502074992717688</v>
      </c>
      <c r="W27" s="6">
        <f t="shared" si="12"/>
        <v>1.3229499794410238</v>
      </c>
      <c r="X27" s="6">
        <f t="shared" si="13"/>
        <v>479.23134033891068</v>
      </c>
      <c r="Y27" s="6">
        <f t="shared" si="8"/>
        <v>3.240800019855361</v>
      </c>
      <c r="AB27">
        <f t="shared" si="19"/>
        <v>24</v>
      </c>
      <c r="AC27" s="6">
        <f t="shared" si="9"/>
        <v>4.4922003213323478</v>
      </c>
      <c r="AD27" s="6">
        <f t="shared" si="10"/>
        <v>7.4595712729528714</v>
      </c>
      <c r="AE27" s="6">
        <f t="shared" si="11"/>
        <v>2.7814138919222842</v>
      </c>
      <c r="AF27" s="6">
        <f t="shared" si="14"/>
        <v>-6.4058241819130739</v>
      </c>
      <c r="AG27" s="6">
        <f t="shared" si="15"/>
        <v>1.3229499794410238</v>
      </c>
      <c r="AH27" s="6">
        <f t="shared" si="16"/>
        <v>3.0366104665371836</v>
      </c>
      <c r="AI27" s="6">
        <f t="shared" si="17"/>
        <v>3.240800019855361</v>
      </c>
    </row>
    <row r="28" spans="2:35" x14ac:dyDescent="0.2">
      <c r="B28" t="s">
        <v>82</v>
      </c>
      <c r="C28" s="6">
        <v>674129.37854994042</v>
      </c>
      <c r="D28" s="6">
        <v>457729.49901577499</v>
      </c>
      <c r="E28" s="6">
        <v>129032.25527707901</v>
      </c>
      <c r="F28" s="6">
        <v>1686066.954457782</v>
      </c>
      <c r="G28" s="6">
        <f t="shared" si="1"/>
        <v>250.11029160077999</v>
      </c>
      <c r="H28" s="6">
        <v>41398744.724481821</v>
      </c>
      <c r="I28" s="6">
        <f t="shared" si="2"/>
        <v>1.0665404553246101</v>
      </c>
      <c r="J28" s="9">
        <v>12.715126902424803</v>
      </c>
      <c r="K28" s="6">
        <v>282.39547212391636</v>
      </c>
      <c r="L28">
        <f t="shared" si="3"/>
        <v>112.9083774667974</v>
      </c>
      <c r="M28" s="6">
        <v>10770.537272423977</v>
      </c>
      <c r="N28" s="6">
        <f t="shared" si="18"/>
        <v>1.1633103925125066</v>
      </c>
      <c r="O28" s="7">
        <v>46.370699999999999</v>
      </c>
      <c r="P28" s="8">
        <f t="shared" si="4"/>
        <v>113.07141411505945</v>
      </c>
      <c r="S28" s="6">
        <f t="shared" si="5"/>
        <v>1296.9613484109129</v>
      </c>
      <c r="T28" s="6">
        <f t="shared" si="6"/>
        <v>1170.3397501992722</v>
      </c>
      <c r="U28" s="6">
        <f t="shared" si="7"/>
        <v>1335.6757136775079</v>
      </c>
      <c r="V28" s="6">
        <f t="shared" si="0"/>
        <v>20.969895287083823</v>
      </c>
      <c r="W28" s="6">
        <f t="shared" si="12"/>
        <v>12.925344180455145</v>
      </c>
      <c r="X28" s="6">
        <f t="shared" si="13"/>
        <v>472.65766709430227</v>
      </c>
      <c r="Y28" s="6">
        <f t="shared" si="8"/>
        <v>3.1787817256062008</v>
      </c>
      <c r="AB28">
        <f t="shared" si="19"/>
        <v>25</v>
      </c>
      <c r="AC28" s="6">
        <f t="shared" si="9"/>
        <v>3.4700983991506291</v>
      </c>
      <c r="AD28" s="6">
        <f t="shared" si="10"/>
        <v>8.4079884337691055</v>
      </c>
      <c r="AE28" s="6">
        <f t="shared" si="11"/>
        <v>4.063099132301204</v>
      </c>
      <c r="AF28" s="6">
        <f t="shared" si="14"/>
        <v>6.41386360589898</v>
      </c>
      <c r="AG28" s="6">
        <f t="shared" si="15"/>
        <v>12.925344180455145</v>
      </c>
      <c r="AH28" s="6">
        <f t="shared" si="16"/>
        <v>-6.5736732446084147</v>
      </c>
      <c r="AI28" s="6">
        <f t="shared" si="17"/>
        <v>3.1787817256062008</v>
      </c>
    </row>
    <row r="29" spans="2:35" x14ac:dyDescent="0.2">
      <c r="B29" t="s">
        <v>83</v>
      </c>
      <c r="C29" s="6">
        <v>676987.62755641807</v>
      </c>
      <c r="D29" s="6">
        <v>462314.30666825798</v>
      </c>
      <c r="E29" s="6">
        <v>133774.83739696699</v>
      </c>
      <c r="F29" s="6">
        <v>1712834.5489382918</v>
      </c>
      <c r="G29" s="6">
        <f t="shared" si="1"/>
        <v>253.00824996178375</v>
      </c>
      <c r="H29" s="6">
        <v>41509088.777736858</v>
      </c>
      <c r="I29" s="6">
        <f t="shared" si="2"/>
        <v>1.06938320810816</v>
      </c>
      <c r="J29" s="9">
        <v>12.678260284319109</v>
      </c>
      <c r="K29" s="6">
        <v>308.69397445120035</v>
      </c>
      <c r="L29">
        <f t="shared" si="3"/>
        <v>122.00945008624335</v>
      </c>
      <c r="M29" s="6">
        <v>10809.291779478383</v>
      </c>
      <c r="N29" s="6">
        <f t="shared" si="18"/>
        <v>1.1674962116293037</v>
      </c>
      <c r="O29" s="7">
        <v>44.316499999999998</v>
      </c>
      <c r="P29" s="8">
        <f t="shared" si="4"/>
        <v>108.06240413946809</v>
      </c>
      <c r="S29" s="6">
        <f t="shared" si="5"/>
        <v>1297.6918214969212</v>
      </c>
      <c r="T29" s="6">
        <f t="shared" si="6"/>
        <v>1173.6831306434947</v>
      </c>
      <c r="U29" s="6">
        <f t="shared" si="7"/>
        <v>1335.8326235083289</v>
      </c>
      <c r="V29" s="6">
        <f t="shared" si="0"/>
        <v>16.53181148219852</v>
      </c>
      <c r="W29" s="6">
        <f t="shared" si="12"/>
        <v>1.1520109760392749</v>
      </c>
      <c r="X29" s="6">
        <f t="shared" si="13"/>
        <v>480.40985014567133</v>
      </c>
      <c r="Y29" s="6">
        <f t="shared" si="8"/>
        <v>3.1695650710797771</v>
      </c>
      <c r="AB29">
        <f t="shared" si="19"/>
        <v>26</v>
      </c>
      <c r="AC29" s="6">
        <f t="shared" si="9"/>
        <v>0.73047308600826</v>
      </c>
      <c r="AD29" s="6">
        <f t="shared" si="10"/>
        <v>3.3433804442224755</v>
      </c>
      <c r="AE29" s="6">
        <f t="shared" si="11"/>
        <v>0.15690983082095045</v>
      </c>
      <c r="AF29" s="6">
        <f t="shared" si="14"/>
        <v>1.9757798010136778</v>
      </c>
      <c r="AG29" s="6">
        <f t="shared" si="15"/>
        <v>1.1520109760392749</v>
      </c>
      <c r="AH29" s="6">
        <f t="shared" si="16"/>
        <v>7.7521830513690588</v>
      </c>
      <c r="AI29" s="6">
        <f t="shared" si="17"/>
        <v>3.1695650710797771</v>
      </c>
    </row>
    <row r="30" spans="2:35" x14ac:dyDescent="0.2">
      <c r="B30" t="s">
        <v>60</v>
      </c>
      <c r="C30" s="6">
        <v>685410.57814325311</v>
      </c>
      <c r="D30" s="6">
        <v>473713.88233156799</v>
      </c>
      <c r="E30" s="6">
        <v>142264.47634794901</v>
      </c>
      <c r="F30" s="6">
        <v>1829124.2504157436</v>
      </c>
      <c r="G30" s="6">
        <f t="shared" si="1"/>
        <v>266.86548307596303</v>
      </c>
      <c r="H30" s="6">
        <v>41619726.941602498</v>
      </c>
      <c r="I30" s="6">
        <f t="shared" si="2"/>
        <v>1.0722335379539285</v>
      </c>
      <c r="J30" s="9">
        <v>11.753766342104333</v>
      </c>
      <c r="K30" s="6">
        <v>327.08083466052994</v>
      </c>
      <c r="L30">
        <f t="shared" si="3"/>
        <v>122.56393404291505</v>
      </c>
      <c r="M30" s="6">
        <v>10827.061190600254</v>
      </c>
      <c r="N30" s="6">
        <f t="shared" si="18"/>
        <v>1.1694154604192248</v>
      </c>
      <c r="O30" s="7">
        <v>42.857799999999997</v>
      </c>
      <c r="P30" s="8">
        <f t="shared" si="4"/>
        <v>104.50547548043043</v>
      </c>
      <c r="S30" s="6">
        <f t="shared" si="5"/>
        <v>1299.8614903158825</v>
      </c>
      <c r="T30" s="6">
        <f t="shared" si="6"/>
        <v>1179.5699222264684</v>
      </c>
      <c r="U30" s="6">
        <f t="shared" si="7"/>
        <v>1336.8029430345014</v>
      </c>
      <c r="V30" s="6">
        <f t="shared" si="0"/>
        <v>13.08294069803409</v>
      </c>
      <c r="W30" s="6">
        <f t="shared" si="12"/>
        <v>5.3322626001270912</v>
      </c>
      <c r="X30" s="6">
        <f t="shared" si="13"/>
        <v>480.86328043912465</v>
      </c>
      <c r="Y30" s="6">
        <f t="shared" si="8"/>
        <v>2.9384415855260833</v>
      </c>
      <c r="AB30">
        <f t="shared" si="19"/>
        <v>27</v>
      </c>
      <c r="AC30" s="6">
        <f t="shared" si="9"/>
        <v>2.1696688189613269</v>
      </c>
      <c r="AD30" s="6">
        <f t="shared" si="10"/>
        <v>5.8867915829737285</v>
      </c>
      <c r="AE30" s="6">
        <f t="shared" si="11"/>
        <v>0.97031952617248862</v>
      </c>
      <c r="AF30" s="6">
        <f t="shared" si="14"/>
        <v>-1.4730909831507528</v>
      </c>
      <c r="AG30" s="6">
        <f t="shared" si="15"/>
        <v>5.3322626001270912</v>
      </c>
      <c r="AH30" s="6">
        <f t="shared" si="16"/>
        <v>0.45343029345332297</v>
      </c>
      <c r="AI30" s="6">
        <f t="shared" si="17"/>
        <v>2.9384415855260833</v>
      </c>
    </row>
    <row r="31" spans="2:35" x14ac:dyDescent="0.2">
      <c r="B31" t="s">
        <v>72</v>
      </c>
      <c r="C31" s="6">
        <v>701719.95832865476</v>
      </c>
      <c r="D31" s="6">
        <v>488337.71951753797</v>
      </c>
      <c r="E31" s="6">
        <v>149901.309485479</v>
      </c>
      <c r="F31" s="6">
        <v>1888827.151845796</v>
      </c>
      <c r="G31" s="6">
        <f t="shared" si="1"/>
        <v>269.17107450450379</v>
      </c>
      <c r="H31" s="6">
        <v>41730660</v>
      </c>
      <c r="I31" s="6">
        <f t="shared" si="2"/>
        <v>1.0750914650577872</v>
      </c>
      <c r="J31" s="9">
        <v>11.529156059435575</v>
      </c>
      <c r="K31" s="6">
        <v>341.13151959543649</v>
      </c>
      <c r="L31">
        <f t="shared" si="3"/>
        <v>126.73409288995823</v>
      </c>
      <c r="M31" s="6">
        <v>10838.574503329606</v>
      </c>
      <c r="N31" s="6">
        <f t="shared" si="18"/>
        <v>1.1706589969310566</v>
      </c>
      <c r="O31" s="7">
        <v>44.222900000000003</v>
      </c>
      <c r="P31" s="8">
        <f t="shared" si="4"/>
        <v>107.83416768064453</v>
      </c>
      <c r="S31" s="6">
        <f t="shared" si="5"/>
        <v>1302.6356751937142</v>
      </c>
      <c r="T31" s="6">
        <f t="shared" si="6"/>
        <v>1184.5326678044651</v>
      </c>
      <c r="U31" s="6">
        <f t="shared" si="7"/>
        <v>1338.888394192365</v>
      </c>
      <c r="V31" s="6">
        <f t="shared" si="0"/>
        <v>16.058547038521425</v>
      </c>
      <c r="W31" s="6">
        <f t="shared" si="12"/>
        <v>0.86024194209999294</v>
      </c>
      <c r="X31" s="6">
        <f t="shared" si="13"/>
        <v>484.2091134713537</v>
      </c>
      <c r="Y31" s="6">
        <f t="shared" si="8"/>
        <v>2.8822890148588938</v>
      </c>
      <c r="AB31">
        <f t="shared" si="19"/>
        <v>28</v>
      </c>
      <c r="AC31" s="6">
        <f t="shared" si="9"/>
        <v>2.774184877831658</v>
      </c>
      <c r="AD31" s="6">
        <f t="shared" si="10"/>
        <v>4.9627455779966567</v>
      </c>
      <c r="AE31" s="6">
        <f t="shared" si="11"/>
        <v>2.0854511578636448</v>
      </c>
      <c r="AF31" s="6">
        <f t="shared" si="14"/>
        <v>1.5025153573365824</v>
      </c>
      <c r="AG31" s="6">
        <f t="shared" si="15"/>
        <v>0.86024194209999294</v>
      </c>
      <c r="AH31" s="6">
        <f t="shared" si="16"/>
        <v>3.3458330322290522</v>
      </c>
      <c r="AI31" s="6">
        <f t="shared" si="17"/>
        <v>2.8822890148588938</v>
      </c>
    </row>
    <row r="32" spans="2:35" x14ac:dyDescent="0.2">
      <c r="B32" t="s">
        <v>84</v>
      </c>
      <c r="C32" s="6">
        <v>710310.00486147264</v>
      </c>
      <c r="D32" s="6">
        <v>496360.906755884</v>
      </c>
      <c r="E32" s="6">
        <v>153356.84778471</v>
      </c>
      <c r="F32" s="6">
        <v>2237123.8354149116</v>
      </c>
      <c r="G32" s="6">
        <f t="shared" si="1"/>
        <v>314.95034845401113</v>
      </c>
      <c r="H32" s="6">
        <v>41838010.30814977</v>
      </c>
      <c r="I32" s="6">
        <f t="shared" si="2"/>
        <v>1.0778570911002014</v>
      </c>
      <c r="J32" s="9">
        <v>11.647751505828175</v>
      </c>
      <c r="K32" s="6">
        <v>368.71788301491938</v>
      </c>
      <c r="L32">
        <f t="shared" si="3"/>
        <v>117.07174950744954</v>
      </c>
      <c r="M32" s="6">
        <v>11096.68877382997</v>
      </c>
      <c r="N32" s="6">
        <f t="shared" si="18"/>
        <v>1.1985375517082297</v>
      </c>
      <c r="O32" s="7">
        <v>42.662300000000002</v>
      </c>
      <c r="P32" s="8">
        <f t="shared" si="4"/>
        <v>104.02876364602866</v>
      </c>
      <c r="S32" s="6">
        <f t="shared" si="5"/>
        <v>1304.0083680551711</v>
      </c>
      <c r="T32" s="6">
        <f t="shared" si="6"/>
        <v>1186.5547928011019</v>
      </c>
      <c r="U32" s="6">
        <f t="shared" si="7"/>
        <v>1339.8481885143183</v>
      </c>
      <c r="V32" s="6">
        <f t="shared" si="0"/>
        <v>14.562445994422108</v>
      </c>
      <c r="W32" s="6">
        <f t="shared" si="12"/>
        <v>15.706786028340769</v>
      </c>
      <c r="X32" s="6">
        <f t="shared" si="13"/>
        <v>476.27869904941196</v>
      </c>
      <c r="Y32" s="6">
        <f t="shared" si="8"/>
        <v>2.9119378764570438</v>
      </c>
      <c r="AB32">
        <f t="shared" si="19"/>
        <v>29</v>
      </c>
      <c r="AC32" s="6">
        <f t="shared" si="9"/>
        <v>1.372692861456926</v>
      </c>
      <c r="AD32" s="6">
        <f t="shared" si="10"/>
        <v>2.0221249966368759</v>
      </c>
      <c r="AE32" s="6">
        <f t="shared" si="11"/>
        <v>0.95979432195326808</v>
      </c>
      <c r="AF32" s="6">
        <f t="shared" si="14"/>
        <v>6.4143132372649347E-3</v>
      </c>
      <c r="AG32" s="6">
        <f t="shared" si="15"/>
        <v>15.706786028340769</v>
      </c>
      <c r="AH32" s="6">
        <f t="shared" si="16"/>
        <v>-7.9304144219417481</v>
      </c>
      <c r="AI32" s="6">
        <f t="shared" si="17"/>
        <v>2.9119378764570438</v>
      </c>
    </row>
    <row r="33" spans="2:35" x14ac:dyDescent="0.2">
      <c r="B33" t="s">
        <v>85</v>
      </c>
      <c r="C33" s="6">
        <v>715887.66436332592</v>
      </c>
      <c r="D33" s="6">
        <v>510643.084370433</v>
      </c>
      <c r="E33" s="6">
        <v>157856.26733674499</v>
      </c>
      <c r="F33" s="6">
        <v>2250487.2637921702</v>
      </c>
      <c r="G33" s="6">
        <f t="shared" si="1"/>
        <v>314.36318515051369</v>
      </c>
      <c r="H33" s="6">
        <v>41945636.770299003</v>
      </c>
      <c r="I33" s="6">
        <f t="shared" si="2"/>
        <v>1.0806298315953435</v>
      </c>
      <c r="J33" s="9">
        <v>12.112337396165474</v>
      </c>
      <c r="K33" s="6">
        <v>414.29382206860015</v>
      </c>
      <c r="L33">
        <f t="shared" si="3"/>
        <v>131.78827599365388</v>
      </c>
      <c r="M33" s="6">
        <v>11171.289374129996</v>
      </c>
      <c r="N33" s="6">
        <f t="shared" si="18"/>
        <v>1.2065950563081984</v>
      </c>
      <c r="O33" s="7">
        <v>46.370699999999999</v>
      </c>
      <c r="P33" s="8">
        <f t="shared" si="4"/>
        <v>113.07141411505945</v>
      </c>
      <c r="S33" s="6">
        <f t="shared" si="5"/>
        <v>1306.5882111559629</v>
      </c>
      <c r="T33" s="6">
        <f t="shared" si="6"/>
        <v>1189.1896149022868</v>
      </c>
      <c r="U33" s="6">
        <f t="shared" si="7"/>
        <v>1340.3734491729058</v>
      </c>
      <c r="V33" s="6">
        <f t="shared" si="0"/>
        <v>23.310775767624417</v>
      </c>
      <c r="W33" s="6">
        <f t="shared" si="12"/>
        <v>-0.18660443245694935</v>
      </c>
      <c r="X33" s="6">
        <f t="shared" si="13"/>
        <v>488.11966651046754</v>
      </c>
      <c r="Y33" s="6">
        <f t="shared" si="8"/>
        <v>3.0280843490413685</v>
      </c>
      <c r="AB33">
        <f t="shared" si="19"/>
        <v>30</v>
      </c>
      <c r="AC33" s="6">
        <f t="shared" si="9"/>
        <v>2.579843100791777</v>
      </c>
      <c r="AD33" s="6">
        <f t="shared" si="10"/>
        <v>2.6348221011849091</v>
      </c>
      <c r="AE33" s="6">
        <f t="shared" si="11"/>
        <v>0.52526065858751281</v>
      </c>
      <c r="AF33" s="6">
        <f t="shared" si="14"/>
        <v>8.7547440864395742</v>
      </c>
      <c r="AG33" s="6">
        <f t="shared" si="15"/>
        <v>-0.18660443245694935</v>
      </c>
      <c r="AH33" s="6">
        <f t="shared" si="16"/>
        <v>11.840967461055584</v>
      </c>
      <c r="AI33" s="6">
        <f t="shared" si="17"/>
        <v>3.0280843490413685</v>
      </c>
    </row>
    <row r="34" spans="2:35" x14ac:dyDescent="0.2">
      <c r="B34" t="s">
        <v>61</v>
      </c>
      <c r="C34" s="6">
        <v>715208.76132895402</v>
      </c>
      <c r="D34" s="6">
        <v>511246.90299452498</v>
      </c>
      <c r="E34" s="6">
        <v>153221.915786269</v>
      </c>
      <c r="F34" s="6">
        <v>2339658.1634702329</v>
      </c>
      <c r="G34" s="6">
        <f t="shared" si="1"/>
        <v>327.12940472413027</v>
      </c>
      <c r="H34" s="6">
        <v>42053540.096841887</v>
      </c>
      <c r="I34" s="6">
        <f t="shared" si="2"/>
        <v>1.0834097048448343</v>
      </c>
      <c r="J34" s="9">
        <v>13.479283686683591</v>
      </c>
      <c r="K34" s="6">
        <v>439.30801218394998</v>
      </c>
      <c r="L34">
        <f t="shared" si="3"/>
        <v>134.29181413832868</v>
      </c>
      <c r="M34" s="6">
        <v>11105.987073956599</v>
      </c>
      <c r="N34" s="6">
        <f t="shared" si="18"/>
        <v>1.1995418478632325</v>
      </c>
      <c r="O34" s="7">
        <v>42.1706</v>
      </c>
      <c r="P34" s="8">
        <f t="shared" si="4"/>
        <v>102.82979071009338</v>
      </c>
      <c r="S34" s="6">
        <f t="shared" si="5"/>
        <v>1306.4494726639778</v>
      </c>
      <c r="T34" s="6">
        <f t="shared" si="6"/>
        <v>1185.9529377524036</v>
      </c>
      <c r="U34" s="6">
        <f t="shared" si="7"/>
        <v>1340.0216550978112</v>
      </c>
      <c r="V34" s="6">
        <f t="shared" si="0"/>
        <v>12.973140642723424</v>
      </c>
      <c r="W34" s="6">
        <f t="shared" si="12"/>
        <v>3.9806867595294726</v>
      </c>
      <c r="X34" s="6">
        <f t="shared" si="13"/>
        <v>490.00151496114404</v>
      </c>
      <c r="Y34" s="6">
        <f t="shared" si="8"/>
        <v>3.3698209216708976</v>
      </c>
      <c r="AB34">
        <f t="shared" si="19"/>
        <v>31</v>
      </c>
      <c r="AC34" s="6">
        <f t="shared" si="9"/>
        <v>-0.13873849198512289</v>
      </c>
      <c r="AD34" s="6">
        <f t="shared" si="10"/>
        <v>-3.236677149883235</v>
      </c>
      <c r="AE34" s="6">
        <f t="shared" si="11"/>
        <v>-0.3517940750946309</v>
      </c>
      <c r="AF34" s="6">
        <f t="shared" si="14"/>
        <v>-1.582891038461419</v>
      </c>
      <c r="AG34" s="6">
        <f t="shared" si="15"/>
        <v>3.9806867595294726</v>
      </c>
      <c r="AH34" s="6">
        <f t="shared" si="16"/>
        <v>1.8818484506765003</v>
      </c>
      <c r="AI34" s="6">
        <f t="shared" si="17"/>
        <v>3.3698209216708976</v>
      </c>
    </row>
    <row r="35" spans="2:35" x14ac:dyDescent="0.2">
      <c r="B35" t="s">
        <v>52</v>
      </c>
      <c r="C35" s="6">
        <v>708376.22005569842</v>
      </c>
      <c r="D35" s="6">
        <v>499851.15707149002</v>
      </c>
      <c r="E35" s="6">
        <v>145161.549856472</v>
      </c>
      <c r="F35" s="6">
        <v>2345559.6033526314</v>
      </c>
      <c r="G35" s="6">
        <f t="shared" si="1"/>
        <v>331.11777851156609</v>
      </c>
      <c r="H35" s="6">
        <v>42161721</v>
      </c>
      <c r="I35" s="6">
        <f t="shared" si="2"/>
        <v>1.0861967291973735</v>
      </c>
      <c r="J35" s="9">
        <v>12.645100672509066</v>
      </c>
      <c r="K35" s="6">
        <v>460.18428327861449</v>
      </c>
      <c r="L35">
        <f t="shared" si="3"/>
        <v>138.9790319768469</v>
      </c>
      <c r="M35" s="6">
        <v>10960.881787545535</v>
      </c>
      <c r="N35" s="6">
        <f t="shared" si="18"/>
        <v>1.1838692325218712</v>
      </c>
      <c r="O35" s="7">
        <v>42.094900000000003</v>
      </c>
      <c r="P35" s="8">
        <f t="shared" si="4"/>
        <v>102.6452020355961</v>
      </c>
      <c r="S35" s="6">
        <f t="shared" si="5"/>
        <v>1303.938329185024</v>
      </c>
      <c r="T35" s="6">
        <f t="shared" si="6"/>
        <v>1180.2920182774105</v>
      </c>
      <c r="U35" s="6">
        <f t="shared" si="7"/>
        <v>1338.804826042086</v>
      </c>
      <c r="V35" s="6">
        <f t="shared" ref="V35:V66" si="20">LN((P35*N35/100)/I35)*100</f>
        <v>11.221394485435694</v>
      </c>
      <c r="W35" s="6">
        <f t="shared" si="12"/>
        <v>1.2118312687944943</v>
      </c>
      <c r="X35" s="6">
        <f t="shared" si="13"/>
        <v>493.43230726643918</v>
      </c>
      <c r="Y35" s="6">
        <f t="shared" si="8"/>
        <v>3.1612751681272666</v>
      </c>
      <c r="AB35">
        <f t="shared" si="19"/>
        <v>32</v>
      </c>
      <c r="AC35" s="6">
        <f t="shared" si="9"/>
        <v>-2.511143478953727</v>
      </c>
      <c r="AD35" s="6">
        <f t="shared" si="10"/>
        <v>-5.6609194749930793</v>
      </c>
      <c r="AE35" s="6">
        <f t="shared" si="11"/>
        <v>-1.2168290557251566</v>
      </c>
      <c r="AF35" s="6">
        <f t="shared" si="14"/>
        <v>-3.3346371957491492</v>
      </c>
      <c r="AG35" s="6">
        <f t="shared" si="15"/>
        <v>1.2118312687944943</v>
      </c>
      <c r="AH35" s="6">
        <f t="shared" si="16"/>
        <v>3.4307923052951423</v>
      </c>
      <c r="AI35" s="6">
        <f t="shared" si="17"/>
        <v>3.1612751681272666</v>
      </c>
    </row>
    <row r="36" spans="2:35" x14ac:dyDescent="0.2">
      <c r="B36" t="s">
        <v>86</v>
      </c>
      <c r="C36" s="6">
        <v>683605.99878134322</v>
      </c>
      <c r="D36" s="6">
        <v>493779.511372732</v>
      </c>
      <c r="E36" s="6">
        <v>133906.59144892299</v>
      </c>
      <c r="F36" s="6">
        <v>2651098.0463880287</v>
      </c>
      <c r="G36" s="6">
        <f t="shared" si="1"/>
        <v>387.81082247875406</v>
      </c>
      <c r="H36" s="6">
        <v>42266513.163806453</v>
      </c>
      <c r="I36" s="6">
        <f t="shared" si="2"/>
        <v>1.08889645071899</v>
      </c>
      <c r="J36" s="9">
        <v>12.093936993702663</v>
      </c>
      <c r="K36" s="6">
        <v>493.41579841478034</v>
      </c>
      <c r="L36">
        <f t="shared" si="3"/>
        <v>127.2310543736339</v>
      </c>
      <c r="M36" s="6">
        <v>11137.764464190852</v>
      </c>
      <c r="N36" s="6">
        <f t="shared" si="18"/>
        <v>1.2029740785283709</v>
      </c>
      <c r="O36" s="7">
        <v>43.141100000000002</v>
      </c>
      <c r="P36" s="8">
        <f t="shared" si="4"/>
        <v>105.19628091616455</v>
      </c>
      <c r="S36" s="6">
        <f t="shared" si="5"/>
        <v>1302.4679610426103</v>
      </c>
      <c r="T36" s="6">
        <f t="shared" si="6"/>
        <v>1171.9733004267275</v>
      </c>
      <c r="U36" s="6">
        <f t="shared" si="7"/>
        <v>1334.9972252610935</v>
      </c>
      <c r="V36" s="6">
        <f t="shared" si="20"/>
        <v>15.028989773105184</v>
      </c>
      <c r="W36" s="6">
        <f t="shared" si="12"/>
        <v>15.804351138604833</v>
      </c>
      <c r="X36" s="6">
        <f t="shared" si="13"/>
        <v>484.60047592666501</v>
      </c>
      <c r="Y36" s="6">
        <f t="shared" si="8"/>
        <v>3.0234842484256657</v>
      </c>
      <c r="AB36">
        <f t="shared" si="19"/>
        <v>33</v>
      </c>
      <c r="AC36" s="6">
        <f t="shared" ref="AC36:AC67" si="21">S36-S35</f>
        <v>-1.4703681424136903</v>
      </c>
      <c r="AD36" s="6">
        <f t="shared" ref="AD36:AD67" si="22">T36-T35</f>
        <v>-8.3187178506830151</v>
      </c>
      <c r="AE36" s="6">
        <f t="shared" ref="AE36:AE67" si="23">U36-U35</f>
        <v>-3.8076007809925159</v>
      </c>
      <c r="AF36" s="6">
        <f t="shared" si="14"/>
        <v>0.47295809192034177</v>
      </c>
      <c r="AG36" s="6">
        <f t="shared" si="15"/>
        <v>15.804351138604833</v>
      </c>
      <c r="AH36" s="6">
        <f t="shared" si="16"/>
        <v>-8.831831339774169</v>
      </c>
      <c r="AI36" s="6">
        <f t="shared" si="17"/>
        <v>3.0234842484256657</v>
      </c>
    </row>
    <row r="37" spans="2:35" x14ac:dyDescent="0.2">
      <c r="B37" t="s">
        <v>87</v>
      </c>
      <c r="C37" s="6">
        <v>705285.22539860196</v>
      </c>
      <c r="D37" s="6">
        <v>515643.03896587098</v>
      </c>
      <c r="E37" s="6">
        <v>143391.74442015999</v>
      </c>
      <c r="F37" s="6">
        <v>2704827.5498552597</v>
      </c>
      <c r="G37" s="6">
        <f t="shared" si="1"/>
        <v>383.5083243558077</v>
      </c>
      <c r="H37" s="6">
        <v>42371565.786563218</v>
      </c>
      <c r="I37" s="6">
        <f t="shared" si="2"/>
        <v>1.0916028823476229</v>
      </c>
      <c r="J37" s="9">
        <v>12.990669271006594</v>
      </c>
      <c r="K37" s="6">
        <v>528.95162770656032</v>
      </c>
      <c r="L37">
        <f t="shared" si="3"/>
        <v>137.92441887540741</v>
      </c>
      <c r="M37" s="6">
        <v>11285.731413131512</v>
      </c>
      <c r="N37" s="6">
        <f t="shared" si="18"/>
        <v>1.2189557779642708</v>
      </c>
      <c r="O37" s="7">
        <v>43.141100000000002</v>
      </c>
      <c r="P37" s="8">
        <f t="shared" si="4"/>
        <v>105.19628091616455</v>
      </c>
      <c r="S37" s="6">
        <f t="shared" si="5"/>
        <v>1306.5522869791973</v>
      </c>
      <c r="T37" s="6">
        <f t="shared" si="6"/>
        <v>1178.5688484870409</v>
      </c>
      <c r="U37" s="6">
        <f t="shared" si="7"/>
        <v>1337.8710424681226</v>
      </c>
      <c r="V37" s="6">
        <f t="shared" si="20"/>
        <v>16.100518338974858</v>
      </c>
      <c r="W37" s="6">
        <f t="shared" si="12"/>
        <v>-1.1156322945844899</v>
      </c>
      <c r="X37" s="6">
        <f t="shared" si="13"/>
        <v>492.67058458119885</v>
      </c>
      <c r="Y37" s="6">
        <f t="shared" si="8"/>
        <v>3.2476673177516484</v>
      </c>
      <c r="AB37">
        <f t="shared" si="19"/>
        <v>34</v>
      </c>
      <c r="AC37" s="6">
        <f t="shared" si="21"/>
        <v>4.0843259365869926</v>
      </c>
      <c r="AD37" s="6">
        <f t="shared" si="22"/>
        <v>6.5955480603133765</v>
      </c>
      <c r="AE37" s="6">
        <f t="shared" si="23"/>
        <v>2.8738172070291057</v>
      </c>
      <c r="AF37" s="6">
        <f t="shared" si="14"/>
        <v>1.5444866577900154</v>
      </c>
      <c r="AG37" s="6">
        <f t="shared" si="15"/>
        <v>-1.1156322945844899</v>
      </c>
      <c r="AH37" s="6">
        <f t="shared" si="16"/>
        <v>8.0701086545338399</v>
      </c>
      <c r="AI37" s="6">
        <f t="shared" si="17"/>
        <v>3.2476673177516484</v>
      </c>
    </row>
    <row r="38" spans="2:35" x14ac:dyDescent="0.2">
      <c r="B38" t="s">
        <v>62</v>
      </c>
      <c r="C38" s="6">
        <v>716676.51360015152</v>
      </c>
      <c r="D38" s="6">
        <v>519593.69431660202</v>
      </c>
      <c r="E38" s="6">
        <v>148410.92266068599</v>
      </c>
      <c r="F38" s="6">
        <v>2850170.1932662781</v>
      </c>
      <c r="G38" s="6">
        <f t="shared" si="1"/>
        <v>397.69270224145316</v>
      </c>
      <c r="H38" s="6">
        <v>42476879.515636131</v>
      </c>
      <c r="I38" s="6">
        <f t="shared" si="2"/>
        <v>1.0943160407611179</v>
      </c>
      <c r="J38" s="9">
        <v>13.516918875419195</v>
      </c>
      <c r="K38" s="6">
        <v>554.03432170861277</v>
      </c>
      <c r="L38">
        <f t="shared" si="3"/>
        <v>139.31216705410881</v>
      </c>
      <c r="M38" s="6">
        <v>11269.876123978989</v>
      </c>
      <c r="N38" s="6">
        <f t="shared" si="18"/>
        <v>1.217243270762365</v>
      </c>
      <c r="O38" s="7">
        <v>42.662300000000002</v>
      </c>
      <c r="P38" s="8">
        <f t="shared" si="4"/>
        <v>104.02876364602866</v>
      </c>
      <c r="S38" s="6">
        <f t="shared" si="5"/>
        <v>1307.0672880253155</v>
      </c>
      <c r="T38" s="6">
        <f t="shared" si="6"/>
        <v>1181.7610662039226</v>
      </c>
      <c r="U38" s="6">
        <f t="shared" si="7"/>
        <v>1339.2250303446085</v>
      </c>
      <c r="V38" s="6">
        <f t="shared" si="20"/>
        <v>14.595638846660087</v>
      </c>
      <c r="W38" s="6">
        <f t="shared" si="12"/>
        <v>3.6318275291917779</v>
      </c>
      <c r="X38" s="6">
        <f t="shared" si="13"/>
        <v>493.67172212220748</v>
      </c>
      <c r="Y38" s="6">
        <f t="shared" si="8"/>
        <v>3.3792297188547988</v>
      </c>
      <c r="AB38">
        <f t="shared" si="19"/>
        <v>35</v>
      </c>
      <c r="AC38" s="6">
        <f t="shared" si="21"/>
        <v>0.51500104611818642</v>
      </c>
      <c r="AD38" s="6">
        <f t="shared" si="22"/>
        <v>3.1922177168817143</v>
      </c>
      <c r="AE38" s="6">
        <f t="shared" si="23"/>
        <v>1.3539878764859168</v>
      </c>
      <c r="AF38" s="6">
        <f t="shared" si="14"/>
        <v>3.9607165475244344E-2</v>
      </c>
      <c r="AG38" s="6">
        <f t="shared" si="15"/>
        <v>3.6318275291917779</v>
      </c>
      <c r="AH38" s="6">
        <f t="shared" si="16"/>
        <v>1.0011375410086316</v>
      </c>
      <c r="AI38" s="6">
        <f t="shared" si="17"/>
        <v>3.3792297188547988</v>
      </c>
    </row>
    <row r="39" spans="2:35" x14ac:dyDescent="0.2">
      <c r="B39" t="s">
        <v>73</v>
      </c>
      <c r="C39" s="6">
        <v>716063.69146123226</v>
      </c>
      <c r="D39" s="6">
        <v>514414.53975042299</v>
      </c>
      <c r="E39" s="6">
        <v>145735.25429940299</v>
      </c>
      <c r="F39" s="6">
        <v>2888980.8590711113</v>
      </c>
      <c r="G39" s="6">
        <f t="shared" si="1"/>
        <v>403.45305781050359</v>
      </c>
      <c r="H39" s="6">
        <v>42582455</v>
      </c>
      <c r="I39" s="6">
        <f t="shared" si="2"/>
        <v>1.0970359426787712</v>
      </c>
      <c r="J39" s="9">
        <v>13.681373749916101</v>
      </c>
      <c r="K39" s="6">
        <v>571.80255792988885</v>
      </c>
      <c r="L39">
        <f t="shared" si="3"/>
        <v>141.72715929654862</v>
      </c>
      <c r="M39" s="6">
        <v>11074.706220793219</v>
      </c>
      <c r="N39" s="6">
        <f t="shared" si="18"/>
        <v>1.1961632474600021</v>
      </c>
      <c r="O39" s="7">
        <v>42.688800000000001</v>
      </c>
      <c r="P39" s="8">
        <f t="shared" si="4"/>
        <v>104.09338187422124</v>
      </c>
      <c r="S39" s="6">
        <f t="shared" si="5"/>
        <v>1305.8172771685158</v>
      </c>
      <c r="T39" s="6">
        <f t="shared" si="6"/>
        <v>1179.693498263031</v>
      </c>
      <c r="U39" s="6">
        <f t="shared" si="7"/>
        <v>1338.8912451264705</v>
      </c>
      <c r="V39" s="6">
        <f t="shared" si="20"/>
        <v>12.662540838562746</v>
      </c>
      <c r="W39" s="6">
        <f t="shared" si="12"/>
        <v>1.438054128488897</v>
      </c>
      <c r="X39" s="6">
        <f t="shared" si="13"/>
        <v>495.39037959140148</v>
      </c>
      <c r="Y39" s="6">
        <f t="shared" si="8"/>
        <v>3.4203434374790254</v>
      </c>
      <c r="AB39">
        <f t="shared" si="19"/>
        <v>36</v>
      </c>
      <c r="AC39" s="6">
        <f t="shared" si="21"/>
        <v>-1.2500108567996904</v>
      </c>
      <c r="AD39" s="6">
        <f t="shared" si="22"/>
        <v>-2.0675679408916494</v>
      </c>
      <c r="AE39" s="6">
        <f t="shared" si="23"/>
        <v>-0.33378521813801854</v>
      </c>
      <c r="AF39" s="6">
        <f t="shared" si="14"/>
        <v>-1.8934908426220964</v>
      </c>
      <c r="AG39" s="6">
        <f t="shared" si="15"/>
        <v>1.438054128488897</v>
      </c>
      <c r="AH39" s="6">
        <f t="shared" si="16"/>
        <v>1.7186574691939995</v>
      </c>
      <c r="AI39" s="6">
        <f t="shared" si="17"/>
        <v>3.4203434374790254</v>
      </c>
    </row>
    <row r="40" spans="2:35" x14ac:dyDescent="0.2">
      <c r="B40" t="s">
        <v>88</v>
      </c>
      <c r="C40" s="6">
        <v>720808.83227209072</v>
      </c>
      <c r="D40" s="6">
        <v>517220.86542175198</v>
      </c>
      <c r="E40" s="6">
        <v>147671.28006293101</v>
      </c>
      <c r="F40" s="6">
        <v>3387810.9120546845</v>
      </c>
      <c r="G40" s="6">
        <f t="shared" si="1"/>
        <v>470.00130414271257</v>
      </c>
      <c r="H40" s="6">
        <v>42692432.210655741</v>
      </c>
      <c r="I40" s="6">
        <f t="shared" si="2"/>
        <v>1.0998692446329423</v>
      </c>
      <c r="J40" s="9">
        <v>15.104207342649836</v>
      </c>
      <c r="K40" s="6">
        <v>612.51811267909079</v>
      </c>
      <c r="L40">
        <f t="shared" si="3"/>
        <v>130.32264108209878</v>
      </c>
      <c r="M40" s="6">
        <v>11336.762903773024</v>
      </c>
      <c r="N40" s="6">
        <f t="shared" si="18"/>
        <v>1.2244676165947048</v>
      </c>
      <c r="O40" s="7">
        <v>43.907600000000002</v>
      </c>
      <c r="P40" s="8">
        <f t="shared" si="4"/>
        <v>107.06533268633824</v>
      </c>
      <c r="S40" s="6">
        <f t="shared" si="5"/>
        <v>1306.1033963885516</v>
      </c>
      <c r="T40" s="6">
        <f t="shared" si="6"/>
        <v>1180.7552697608905</v>
      </c>
      <c r="U40" s="6">
        <f t="shared" si="7"/>
        <v>1339.2937934407446</v>
      </c>
      <c r="V40" s="6">
        <f t="shared" si="20"/>
        <v>17.558389460545381</v>
      </c>
      <c r="W40" s="6">
        <f t="shared" si="12"/>
        <v>15.267532605015166</v>
      </c>
      <c r="X40" s="6">
        <f t="shared" si="13"/>
        <v>487.001323021872</v>
      </c>
      <c r="Y40" s="6">
        <f t="shared" si="8"/>
        <v>3.7760518356624591</v>
      </c>
      <c r="AB40">
        <f t="shared" si="19"/>
        <v>37</v>
      </c>
      <c r="AC40" s="6">
        <f t="shared" si="21"/>
        <v>0.28611922003574364</v>
      </c>
      <c r="AD40" s="6">
        <f t="shared" si="22"/>
        <v>1.0617714978595814</v>
      </c>
      <c r="AE40" s="6">
        <f t="shared" si="23"/>
        <v>0.40254831427409954</v>
      </c>
      <c r="AF40" s="6">
        <f t="shared" si="14"/>
        <v>3.0023577793605387</v>
      </c>
      <c r="AG40" s="6">
        <f t="shared" si="15"/>
        <v>15.267532605015166</v>
      </c>
      <c r="AH40" s="6">
        <f t="shared" si="16"/>
        <v>-8.3890565695294868</v>
      </c>
      <c r="AI40" s="6">
        <f t="shared" si="17"/>
        <v>3.7760518356624591</v>
      </c>
    </row>
    <row r="41" spans="2:35" x14ac:dyDescent="0.2">
      <c r="B41" t="s">
        <v>89</v>
      </c>
      <c r="C41" s="6">
        <v>725573.2191300554</v>
      </c>
      <c r="D41" s="6">
        <v>535657.07807143102</v>
      </c>
      <c r="E41" s="6">
        <v>145972.55602493</v>
      </c>
      <c r="F41" s="6">
        <v>3436546.5463782018</v>
      </c>
      <c r="G41" s="6">
        <f t="shared" si="1"/>
        <v>473.63194447812413</v>
      </c>
      <c r="H41" s="6">
        <v>42802693.458172753</v>
      </c>
      <c r="I41" s="6">
        <f t="shared" si="2"/>
        <v>1.1027098641230766</v>
      </c>
      <c r="J41" s="9">
        <v>15.847644139115816</v>
      </c>
      <c r="K41" s="6">
        <v>661.16961508586712</v>
      </c>
      <c r="L41">
        <f t="shared" si="3"/>
        <v>139.5956549793919</v>
      </c>
      <c r="M41" s="6">
        <v>11330.519631113786</v>
      </c>
      <c r="N41" s="6">
        <f t="shared" si="18"/>
        <v>1.2237932896058019</v>
      </c>
      <c r="O41" s="7">
        <v>43.021500000000003</v>
      </c>
      <c r="P41" s="8">
        <f t="shared" si="4"/>
        <v>104.90464544100114</v>
      </c>
      <c r="S41" s="6">
        <f t="shared" si="5"/>
        <v>1309.3478792418941</v>
      </c>
      <c r="T41" s="6">
        <f t="shared" si="6"/>
        <v>1179.3403247419312</v>
      </c>
      <c r="U41" s="6">
        <f t="shared" si="7"/>
        <v>1339.6946605345863</v>
      </c>
      <c r="V41" s="6">
        <f t="shared" si="20"/>
        <v>15.206623852153969</v>
      </c>
      <c r="W41" s="6">
        <f t="shared" si="12"/>
        <v>0.76950621570173183</v>
      </c>
      <c r="X41" s="6">
        <f t="shared" si="13"/>
        <v>493.87500650544291</v>
      </c>
      <c r="Y41" s="6">
        <f t="shared" si="8"/>
        <v>3.9619110347789541</v>
      </c>
      <c r="AB41">
        <f t="shared" si="19"/>
        <v>38</v>
      </c>
      <c r="AC41" s="6">
        <f t="shared" si="21"/>
        <v>3.2444828533425607</v>
      </c>
      <c r="AD41" s="6">
        <f t="shared" si="22"/>
        <v>-1.4149450189593153</v>
      </c>
      <c r="AE41" s="6">
        <f t="shared" si="23"/>
        <v>0.40086709384172536</v>
      </c>
      <c r="AF41" s="6">
        <f t="shared" si="14"/>
        <v>0.65059217096912647</v>
      </c>
      <c r="AG41" s="6">
        <f t="shared" si="15"/>
        <v>0.76950621570173183</v>
      </c>
      <c r="AH41" s="6">
        <f t="shared" si="16"/>
        <v>6.8736834835709146</v>
      </c>
      <c r="AI41" s="6">
        <f t="shared" si="17"/>
        <v>3.9619110347789541</v>
      </c>
    </row>
    <row r="42" spans="2:35" x14ac:dyDescent="0.2">
      <c r="B42" t="s">
        <v>65</v>
      </c>
      <c r="C42" s="6">
        <v>719182.67834788037</v>
      </c>
      <c r="D42" s="6">
        <v>535405.645910269</v>
      </c>
      <c r="E42" s="6">
        <v>144847.181550682</v>
      </c>
      <c r="F42" s="6">
        <v>3679895.6354048252</v>
      </c>
      <c r="G42" s="6">
        <f t="shared" si="1"/>
        <v>511.67745639513305</v>
      </c>
      <c r="H42" s="6">
        <v>42913239.476129748</v>
      </c>
      <c r="I42" s="6">
        <f t="shared" si="2"/>
        <v>1.1055578200480893</v>
      </c>
      <c r="J42" s="9">
        <v>15.834186355200877</v>
      </c>
      <c r="K42" s="6">
        <v>693.75799452309536</v>
      </c>
      <c r="L42">
        <f t="shared" si="3"/>
        <v>135.58502252781568</v>
      </c>
      <c r="M42" s="6">
        <v>11304.580388188457</v>
      </c>
      <c r="N42" s="6">
        <f t="shared" si="18"/>
        <v>1.2209916289174163</v>
      </c>
      <c r="O42" s="7">
        <v>44.579900000000002</v>
      </c>
      <c r="P42" s="8">
        <f t="shared" si="4"/>
        <v>108.70468494346514</v>
      </c>
      <c r="S42" s="6">
        <f t="shared" si="5"/>
        <v>1309.0429933114931</v>
      </c>
      <c r="T42" s="6">
        <f t="shared" si="6"/>
        <v>1178.3084523181135</v>
      </c>
      <c r="U42" s="6">
        <f t="shared" si="7"/>
        <v>1338.5520655121775</v>
      </c>
      <c r="V42" s="6">
        <f t="shared" si="20"/>
        <v>18.277802403087918</v>
      </c>
      <c r="W42" s="6">
        <f t="shared" si="12"/>
        <v>7.7263926919048487</v>
      </c>
      <c r="X42" s="6">
        <f t="shared" si="13"/>
        <v>490.95989160711844</v>
      </c>
      <c r="Y42" s="6">
        <f t="shared" si="8"/>
        <v>3.9585465888002194</v>
      </c>
      <c r="AB42">
        <f t="shared" si="19"/>
        <v>39</v>
      </c>
      <c r="AC42" s="6">
        <f t="shared" si="21"/>
        <v>-0.30488593040104206</v>
      </c>
      <c r="AD42" s="6">
        <f t="shared" si="22"/>
        <v>-1.031872423817731</v>
      </c>
      <c r="AE42" s="6">
        <f t="shared" si="23"/>
        <v>-1.142595022408841</v>
      </c>
      <c r="AF42" s="6">
        <f t="shared" si="14"/>
        <v>3.7217707219030753</v>
      </c>
      <c r="AG42" s="6">
        <f t="shared" si="15"/>
        <v>7.7263926919048487</v>
      </c>
      <c r="AH42" s="6">
        <f t="shared" si="16"/>
        <v>-2.9151148983244752</v>
      </c>
      <c r="AI42" s="6">
        <f t="shared" si="17"/>
        <v>3.9585465888002194</v>
      </c>
    </row>
    <row r="43" spans="2:35" x14ac:dyDescent="0.2">
      <c r="B43" t="s">
        <v>74</v>
      </c>
      <c r="C43" s="6">
        <v>708315.37698831095</v>
      </c>
      <c r="D43" s="6">
        <v>521769.243752143</v>
      </c>
      <c r="E43" s="6">
        <v>141725.78560839299</v>
      </c>
      <c r="F43" s="6">
        <v>3917648.8611710793</v>
      </c>
      <c r="G43" s="6">
        <f t="shared" si="1"/>
        <v>553.09386022770627</v>
      </c>
      <c r="H43" s="6">
        <v>43024071</v>
      </c>
      <c r="I43" s="6">
        <f t="shared" si="2"/>
        <v>1.1084131313557046</v>
      </c>
      <c r="J43" s="9">
        <v>25.347958262153302</v>
      </c>
      <c r="K43" s="6">
        <v>723.06363255980079</v>
      </c>
      <c r="L43">
        <f t="shared" si="3"/>
        <v>130.7307284629988</v>
      </c>
      <c r="M43" s="6">
        <v>11095.741958906925</v>
      </c>
      <c r="N43" s="6">
        <f t="shared" si="18"/>
        <v>1.1984352875767472</v>
      </c>
      <c r="O43" s="7">
        <v>45.073900000000002</v>
      </c>
      <c r="P43" s="8">
        <f t="shared" si="4"/>
        <v>109.90926625392281</v>
      </c>
      <c r="S43" s="6">
        <f t="shared" si="5"/>
        <v>1306.2051326285525</v>
      </c>
      <c r="T43" s="6">
        <f t="shared" si="6"/>
        <v>1175.8720001302027</v>
      </c>
      <c r="U43" s="6">
        <f t="shared" si="7"/>
        <v>1336.7715340153443</v>
      </c>
      <c r="V43" s="6">
        <f t="shared" si="20"/>
        <v>17.257238504785967</v>
      </c>
      <c r="W43" s="6">
        <f t="shared" si="12"/>
        <v>7.7833257735946404</v>
      </c>
      <c r="X43" s="6">
        <f t="shared" si="13"/>
        <v>487.3139699829328</v>
      </c>
      <c r="Y43" s="6">
        <f t="shared" si="8"/>
        <v>6.3369895655383255</v>
      </c>
      <c r="AB43">
        <f t="shared" si="19"/>
        <v>40</v>
      </c>
      <c r="AC43" s="6">
        <f t="shared" si="21"/>
        <v>-2.8378606829405726</v>
      </c>
      <c r="AD43" s="6">
        <f t="shared" si="22"/>
        <v>-2.4364521879108452</v>
      </c>
      <c r="AE43" s="6">
        <f t="shared" si="23"/>
        <v>-1.7805314968331913</v>
      </c>
      <c r="AF43" s="6">
        <f t="shared" si="14"/>
        <v>2.7012068236011242</v>
      </c>
      <c r="AG43" s="6">
        <f t="shared" si="15"/>
        <v>7.7833257735946404</v>
      </c>
      <c r="AH43" s="6">
        <f t="shared" si="16"/>
        <v>-3.6459216241856325</v>
      </c>
      <c r="AI43" s="6">
        <f t="shared" si="17"/>
        <v>6.3369895655383255</v>
      </c>
    </row>
    <row r="44" spans="2:35" x14ac:dyDescent="0.2">
      <c r="B44" t="s">
        <v>53</v>
      </c>
      <c r="C44" s="6">
        <v>702913.19880550797</v>
      </c>
      <c r="D44" s="6">
        <v>498958.01980491501</v>
      </c>
      <c r="E44" s="6">
        <v>139110.38880058099</v>
      </c>
      <c r="F44" s="6">
        <v>4702629.524920309</v>
      </c>
      <c r="G44" s="6">
        <f t="shared" si="1"/>
        <v>669.01994910775602</v>
      </c>
      <c r="H44" s="6">
        <v>43136861.93902529</v>
      </c>
      <c r="I44" s="6">
        <f t="shared" si="2"/>
        <v>1.1113189223468356</v>
      </c>
      <c r="J44" s="9">
        <v>26.242726438729818</v>
      </c>
      <c r="K44" s="6">
        <v>800.70206024595029</v>
      </c>
      <c r="L44">
        <f t="shared" si="3"/>
        <v>119.68283775600612</v>
      </c>
      <c r="M44" s="6">
        <v>11010.906370826817</v>
      </c>
      <c r="N44" s="6">
        <f t="shared" si="18"/>
        <v>1.1892723165222596</v>
      </c>
      <c r="O44" s="7">
        <v>42.018999999999998</v>
      </c>
      <c r="P44" s="8">
        <f t="shared" si="4"/>
        <v>102.46012567635776</v>
      </c>
      <c r="S44" s="6">
        <f t="shared" si="5"/>
        <v>1301.4729714265152</v>
      </c>
      <c r="T44" s="6">
        <f t="shared" si="6"/>
        <v>1173.7475532682363</v>
      </c>
      <c r="U44" s="6">
        <f t="shared" si="7"/>
        <v>1335.7441162349016</v>
      </c>
      <c r="V44" s="6">
        <f t="shared" si="20"/>
        <v>9.2097612190712308</v>
      </c>
      <c r="W44" s="6">
        <f t="shared" si="12"/>
        <v>19.028616269375043</v>
      </c>
      <c r="X44" s="6">
        <f t="shared" si="13"/>
        <v>478.48452251416364</v>
      </c>
      <c r="Y44" s="6">
        <f t="shared" si="8"/>
        <v>6.5606816096824545</v>
      </c>
      <c r="AB44">
        <f t="shared" si="19"/>
        <v>41</v>
      </c>
      <c r="AC44" s="6">
        <f t="shared" si="21"/>
        <v>-4.7321612020373323</v>
      </c>
      <c r="AD44" s="6">
        <f t="shared" si="22"/>
        <v>-2.1244468619663621</v>
      </c>
      <c r="AE44" s="6">
        <f t="shared" si="23"/>
        <v>-1.0274177804426472</v>
      </c>
      <c r="AF44" s="6">
        <f t="shared" si="14"/>
        <v>-5.3462704621136119</v>
      </c>
      <c r="AG44" s="6">
        <f t="shared" si="15"/>
        <v>19.028616269375043</v>
      </c>
      <c r="AH44" s="6">
        <f t="shared" si="16"/>
        <v>-8.8294474687691604</v>
      </c>
      <c r="AI44" s="6">
        <f t="shared" si="17"/>
        <v>6.5606816096824545</v>
      </c>
    </row>
    <row r="45" spans="2:35" x14ac:dyDescent="0.2">
      <c r="B45" t="s">
        <v>90</v>
      </c>
      <c r="C45" s="6">
        <v>697283.51011195104</v>
      </c>
      <c r="D45" s="6">
        <v>490467.23867653002</v>
      </c>
      <c r="E45" s="6">
        <v>133831.25942686701</v>
      </c>
      <c r="F45" s="6">
        <v>4685503.1186782746</v>
      </c>
      <c r="G45" s="6">
        <f t="shared" si="1"/>
        <v>671.96528395257792</v>
      </c>
      <c r="H45" s="6">
        <v>43249948.568245165</v>
      </c>
      <c r="I45" s="6">
        <f t="shared" si="2"/>
        <v>1.1142323310944193</v>
      </c>
      <c r="J45" s="9">
        <v>26.077297850476285</v>
      </c>
      <c r="K45" s="6">
        <v>871.23112856964178</v>
      </c>
      <c r="L45">
        <f t="shared" si="3"/>
        <v>129.65418740756354</v>
      </c>
      <c r="M45" s="6">
        <v>11022.40310246521</v>
      </c>
      <c r="N45" s="6">
        <f t="shared" si="18"/>
        <v>1.19051406213407</v>
      </c>
      <c r="O45" s="7">
        <v>43.216999999999999</v>
      </c>
      <c r="P45" s="8">
        <f t="shared" si="4"/>
        <v>105.38135727540288</v>
      </c>
      <c r="S45" s="6">
        <f t="shared" si="5"/>
        <v>1299.4948088567439</v>
      </c>
      <c r="T45" s="6">
        <f t="shared" si="6"/>
        <v>1169.6169351892563</v>
      </c>
      <c r="U45" s="6">
        <f t="shared" si="7"/>
        <v>1334.6781689231657</v>
      </c>
      <c r="V45" s="6">
        <f t="shared" si="20"/>
        <v>11.863508186081059</v>
      </c>
      <c r="W45" s="6">
        <f t="shared" si="12"/>
        <v>0.43927994260846148</v>
      </c>
      <c r="X45" s="6">
        <f t="shared" si="13"/>
        <v>486.4870809246093</v>
      </c>
      <c r="Y45" s="6">
        <f t="shared" si="8"/>
        <v>6.5193244626190712</v>
      </c>
      <c r="AB45">
        <f t="shared" si="19"/>
        <v>42</v>
      </c>
      <c r="AC45" s="6">
        <f t="shared" si="21"/>
        <v>-1.978162569771257</v>
      </c>
      <c r="AD45" s="6">
        <f t="shared" si="22"/>
        <v>-4.1306180789799782</v>
      </c>
      <c r="AE45" s="6">
        <f t="shared" si="23"/>
        <v>-1.0659473117359539</v>
      </c>
      <c r="AF45" s="6">
        <f t="shared" si="14"/>
        <v>-2.6925234951037833</v>
      </c>
      <c r="AG45" s="6">
        <f t="shared" si="15"/>
        <v>0.43927994260846148</v>
      </c>
      <c r="AH45" s="6">
        <f t="shared" si="16"/>
        <v>8.0025584104456584</v>
      </c>
      <c r="AI45" s="6">
        <f t="shared" si="17"/>
        <v>6.5193244626190712</v>
      </c>
    </row>
    <row r="46" spans="2:35" x14ac:dyDescent="0.2">
      <c r="B46" t="s">
        <v>66</v>
      </c>
      <c r="C46" s="6">
        <v>700712.09794769145</v>
      </c>
      <c r="D46" s="6">
        <v>499863.24343427003</v>
      </c>
      <c r="E46" s="6">
        <v>130091.15498156199</v>
      </c>
      <c r="F46" s="6">
        <v>5010564.1968707321</v>
      </c>
      <c r="G46" s="6">
        <f t="shared" si="1"/>
        <v>715.06745945248019</v>
      </c>
      <c r="H46" s="6">
        <v>43363331.662834413</v>
      </c>
      <c r="I46" s="6">
        <f t="shared" si="2"/>
        <v>1.1171533775689955</v>
      </c>
      <c r="J46" s="9">
        <v>26.641105026530887</v>
      </c>
      <c r="K46" s="6">
        <v>917.28278414386421</v>
      </c>
      <c r="L46">
        <f t="shared" si="3"/>
        <v>128.27919548264975</v>
      </c>
      <c r="M46" s="6">
        <v>11252.956511207536</v>
      </c>
      <c r="N46" s="6">
        <f t="shared" si="18"/>
        <v>1.215415807482078</v>
      </c>
      <c r="O46" s="7">
        <v>43.253700000000002</v>
      </c>
      <c r="P46" s="8">
        <f t="shared" si="4"/>
        <v>105.47084742539032</v>
      </c>
      <c r="S46" s="6">
        <f t="shared" si="5"/>
        <v>1301.1306004142516</v>
      </c>
      <c r="T46" s="6">
        <f t="shared" si="6"/>
        <v>1166.52068531644</v>
      </c>
      <c r="U46" s="6">
        <f t="shared" si="7"/>
        <v>1334.9068557007663</v>
      </c>
      <c r="V46" s="6">
        <f t="shared" si="20"/>
        <v>13.756682492830615</v>
      </c>
      <c r="W46" s="6">
        <f t="shared" si="12"/>
        <v>6.2170208724188214</v>
      </c>
      <c r="X46" s="6">
        <f t="shared" si="13"/>
        <v>485.42091032325538</v>
      </c>
      <c r="Y46" s="6">
        <f t="shared" si="8"/>
        <v>6.6602762566327218</v>
      </c>
      <c r="AB46">
        <f t="shared" si="19"/>
        <v>43</v>
      </c>
      <c r="AC46" s="6">
        <f t="shared" si="21"/>
        <v>1.6357915575076731</v>
      </c>
      <c r="AD46" s="6">
        <f t="shared" si="22"/>
        <v>-3.0962498728163155</v>
      </c>
      <c r="AE46" s="6">
        <f t="shared" si="23"/>
        <v>0.22868677760061473</v>
      </c>
      <c r="AF46" s="6">
        <f t="shared" si="14"/>
        <v>-0.79934918835422764</v>
      </c>
      <c r="AG46" s="6">
        <f t="shared" si="15"/>
        <v>6.2170208724188214</v>
      </c>
      <c r="AH46" s="6">
        <f t="shared" si="16"/>
        <v>-1.0661706013539174</v>
      </c>
      <c r="AI46" s="6">
        <f t="shared" si="17"/>
        <v>6.6602762566327218</v>
      </c>
    </row>
    <row r="47" spans="2:35" x14ac:dyDescent="0.2">
      <c r="B47" t="s">
        <v>91</v>
      </c>
      <c r="C47" s="6">
        <v>710751.90614638862</v>
      </c>
      <c r="D47" s="6">
        <v>508588.34934568702</v>
      </c>
      <c r="E47" s="6">
        <v>138222.046078813</v>
      </c>
      <c r="F47" s="6">
        <v>5092693.740328637</v>
      </c>
      <c r="G47" s="6">
        <f t="shared" si="1"/>
        <v>716.52199540914501</v>
      </c>
      <c r="H47" s="6">
        <v>43477012</v>
      </c>
      <c r="I47" s="6">
        <f t="shared" si="2"/>
        <v>1.120082081793458</v>
      </c>
      <c r="J47" s="9">
        <v>26.329201513114747</v>
      </c>
      <c r="K47" s="6">
        <v>946.22508762316113</v>
      </c>
      <c r="L47">
        <f t="shared" si="3"/>
        <v>132.05806572383759</v>
      </c>
      <c r="M47" s="6">
        <v>11102.21667721726</v>
      </c>
      <c r="N47" s="6">
        <f t="shared" si="18"/>
        <v>1.1991346126808242</v>
      </c>
      <c r="O47" s="7">
        <v>41.238300000000002</v>
      </c>
      <c r="P47" s="8">
        <f t="shared" si="4"/>
        <v>100.5564482895677</v>
      </c>
      <c r="S47" s="6">
        <f t="shared" si="5"/>
        <v>1302.5992254467558</v>
      </c>
      <c r="T47" s="6">
        <f t="shared" si="6"/>
        <v>1172.3214730657601</v>
      </c>
      <c r="U47" s="6">
        <f t="shared" si="7"/>
        <v>1336.0676741452694</v>
      </c>
      <c r="V47" s="6">
        <f t="shared" si="20"/>
        <v>7.3747228953297315</v>
      </c>
      <c r="W47" s="6">
        <f t="shared" si="12"/>
        <v>0.20320580767601015</v>
      </c>
      <c r="X47" s="6">
        <f t="shared" si="13"/>
        <v>488.32417177095709</v>
      </c>
      <c r="Y47" s="6">
        <f t="shared" si="8"/>
        <v>6.5823003782786866</v>
      </c>
      <c r="AB47">
        <f t="shared" si="19"/>
        <v>44</v>
      </c>
      <c r="AC47" s="6">
        <f t="shared" si="21"/>
        <v>1.4686250325041783</v>
      </c>
      <c r="AD47" s="6">
        <f t="shared" si="22"/>
        <v>5.8007877493200795</v>
      </c>
      <c r="AE47" s="6">
        <f t="shared" si="23"/>
        <v>1.1608184445030929</v>
      </c>
      <c r="AF47" s="6">
        <f t="shared" si="14"/>
        <v>-7.1813087858551112</v>
      </c>
      <c r="AG47" s="6">
        <f t="shared" si="15"/>
        <v>0.20320580767601015</v>
      </c>
      <c r="AH47" s="6">
        <f t="shared" si="16"/>
        <v>2.9032614477017091</v>
      </c>
      <c r="AI47" s="6">
        <f t="shared" si="17"/>
        <v>6.5823003782786866</v>
      </c>
    </row>
    <row r="48" spans="2:35" x14ac:dyDescent="0.2">
      <c r="B48" t="s">
        <v>92</v>
      </c>
      <c r="C48" s="6">
        <v>728932.58641636837</v>
      </c>
      <c r="D48" s="6">
        <v>532946.52682045999</v>
      </c>
      <c r="E48" s="6">
        <v>141538.46742201</v>
      </c>
      <c r="F48" s="6">
        <v>5951478.8553666007</v>
      </c>
      <c r="G48" s="6">
        <f t="shared" si="1"/>
        <v>816.46491956487989</v>
      </c>
      <c r="H48" s="6">
        <v>43582453.053791523</v>
      </c>
      <c r="I48" s="6">
        <f t="shared" si="2"/>
        <v>1.1227985204262994</v>
      </c>
      <c r="J48" s="9">
        <v>25.833070776911342</v>
      </c>
      <c r="K48" s="6">
        <v>1011.5860463508261</v>
      </c>
      <c r="L48">
        <f t="shared" si="3"/>
        <v>123.89828663917766</v>
      </c>
      <c r="M48" s="6">
        <v>11151.034430767637</v>
      </c>
      <c r="N48" s="6">
        <f t="shared" si="18"/>
        <v>1.2044073487206195</v>
      </c>
      <c r="O48" s="7">
        <v>41.049399999999999</v>
      </c>
      <c r="P48" s="8">
        <f t="shared" si="4"/>
        <v>100.09583005162142</v>
      </c>
      <c r="S48" s="6">
        <f t="shared" si="5"/>
        <v>1307.0352125449233</v>
      </c>
      <c r="T48" s="6">
        <f t="shared" si="6"/>
        <v>1174.450256594102</v>
      </c>
      <c r="U48" s="6">
        <f t="shared" si="7"/>
        <v>1338.3512284912026</v>
      </c>
      <c r="V48" s="6">
        <f t="shared" si="20"/>
        <v>7.1121213056537975</v>
      </c>
      <c r="W48" s="6">
        <f t="shared" si="12"/>
        <v>13.057500187965765</v>
      </c>
      <c r="X48" s="6">
        <f t="shared" si="13"/>
        <v>481.94609599614154</v>
      </c>
      <c r="Y48" s="6">
        <f t="shared" si="8"/>
        <v>6.4582676942278354</v>
      </c>
      <c r="AB48">
        <f t="shared" si="19"/>
        <v>45</v>
      </c>
      <c r="AC48" s="6">
        <f t="shared" si="21"/>
        <v>4.4359870981675158</v>
      </c>
      <c r="AD48" s="6">
        <f t="shared" si="22"/>
        <v>2.1287835283419554</v>
      </c>
      <c r="AE48" s="6">
        <f t="shared" si="23"/>
        <v>2.2835543459332257</v>
      </c>
      <c r="AF48" s="6">
        <f t="shared" si="14"/>
        <v>-7.4439103755310452</v>
      </c>
      <c r="AG48" s="6">
        <f t="shared" si="15"/>
        <v>13.057500187965765</v>
      </c>
      <c r="AH48" s="6">
        <f t="shared" si="16"/>
        <v>-6.3780757748155565</v>
      </c>
      <c r="AI48" s="6">
        <f t="shared" si="17"/>
        <v>6.4582676942278354</v>
      </c>
    </row>
    <row r="49" spans="2:35" x14ac:dyDescent="0.2">
      <c r="B49" t="s">
        <v>93</v>
      </c>
      <c r="C49" s="6">
        <v>727453.28403633856</v>
      </c>
      <c r="D49" s="6">
        <v>522379.92149295198</v>
      </c>
      <c r="E49" s="6">
        <v>142906.81937996001</v>
      </c>
      <c r="F49" s="6">
        <v>6221730.7557715978</v>
      </c>
      <c r="G49" s="6">
        <f t="shared" si="1"/>
        <v>855.27564344060386</v>
      </c>
      <c r="H49" s="6">
        <v>43688149.824692234</v>
      </c>
      <c r="I49" s="6">
        <f t="shared" si="2"/>
        <v>1.1255215470038691</v>
      </c>
      <c r="J49" s="9">
        <v>25.71120036762758</v>
      </c>
      <c r="K49" s="6">
        <v>1114.1477055292626</v>
      </c>
      <c r="L49">
        <f t="shared" si="3"/>
        <v>130.26767616662949</v>
      </c>
      <c r="M49" s="7">
        <f>AVERAGE(M46:M48)</f>
        <v>11168.735873064144</v>
      </c>
      <c r="N49" s="6">
        <f t="shared" si="18"/>
        <v>1.2063192562945073</v>
      </c>
      <c r="O49" s="7">
        <v>42.1706</v>
      </c>
      <c r="P49" s="8">
        <f t="shared" si="4"/>
        <v>102.82979071009338</v>
      </c>
      <c r="S49" s="6">
        <f t="shared" si="5"/>
        <v>1304.7903895519908</v>
      </c>
      <c r="T49" s="6">
        <f t="shared" si="6"/>
        <v>1175.1701558557536</v>
      </c>
      <c r="U49" s="6">
        <f t="shared" si="7"/>
        <v>1337.9058536017801</v>
      </c>
      <c r="V49" s="6">
        <f t="shared" si="20"/>
        <v>9.7232178953327075</v>
      </c>
      <c r="W49" s="6">
        <f t="shared" si="12"/>
        <v>4.6439859884847223</v>
      </c>
      <c r="X49" s="6">
        <f t="shared" si="13"/>
        <v>486.95913809584346</v>
      </c>
      <c r="Y49" s="6">
        <f t="shared" si="8"/>
        <v>6.4278000919068949</v>
      </c>
      <c r="AB49">
        <f t="shared" si="19"/>
        <v>46</v>
      </c>
      <c r="AC49" s="6">
        <f t="shared" si="21"/>
        <v>-2.2448229929325407</v>
      </c>
      <c r="AD49" s="6">
        <f t="shared" si="22"/>
        <v>0.71989926165156248</v>
      </c>
      <c r="AE49" s="6">
        <f t="shared" si="23"/>
        <v>-0.44537488942251002</v>
      </c>
      <c r="AF49" s="6">
        <f t="shared" si="14"/>
        <v>-4.8328137858521352</v>
      </c>
      <c r="AG49" s="6">
        <f t="shared" si="15"/>
        <v>4.6439859884847223</v>
      </c>
      <c r="AH49" s="6">
        <f t="shared" si="16"/>
        <v>5.0130420997019201</v>
      </c>
      <c r="AI49" s="6">
        <f t="shared" si="17"/>
        <v>6.4278000919068949</v>
      </c>
    </row>
    <row r="50" spans="2:35" x14ac:dyDescent="0.2">
      <c r="B50" t="s">
        <v>94</v>
      </c>
      <c r="C50" s="6">
        <v>718810.80995306326</v>
      </c>
      <c r="D50" s="6">
        <v>520671.16452792101</v>
      </c>
      <c r="E50" s="6">
        <v>140953.54803476101</v>
      </c>
      <c r="F50" s="6">
        <v>6552140.2313025314</v>
      </c>
      <c r="G50" s="6">
        <f t="shared" si="1"/>
        <v>911.52499942653492</v>
      </c>
      <c r="H50" s="6">
        <v>43794102.932870813</v>
      </c>
      <c r="I50" s="6">
        <f t="shared" si="2"/>
        <v>1.1282511775033419</v>
      </c>
      <c r="J50" s="9">
        <v>28.777267197923823</v>
      </c>
      <c r="K50" s="6">
        <v>1178.1010150220839</v>
      </c>
      <c r="L50">
        <f t="shared" si="3"/>
        <v>129.24505809092005</v>
      </c>
      <c r="M50" s="7">
        <f>AVERAGE(M47:M49)</f>
        <v>11140.662327016347</v>
      </c>
      <c r="N50" s="6">
        <f t="shared" si="18"/>
        <v>1.2032870725653171</v>
      </c>
      <c r="O50" s="7">
        <v>44.827599999999997</v>
      </c>
      <c r="P50" s="8">
        <f t="shared" si="4"/>
        <v>109.30868249528774</v>
      </c>
      <c r="S50" s="6">
        <f t="shared" si="5"/>
        <v>1304.220515595526</v>
      </c>
      <c r="T50" s="6">
        <f t="shared" si="6"/>
        <v>1173.5516865139821</v>
      </c>
      <c r="U50" s="6">
        <f t="shared" si="7"/>
        <v>1336.4684669287908</v>
      </c>
      <c r="V50" s="6">
        <f t="shared" si="20"/>
        <v>15.339387903186315</v>
      </c>
      <c r="W50" s="6">
        <f t="shared" si="12"/>
        <v>6.3695213461792299</v>
      </c>
      <c r="X50" s="6">
        <f t="shared" si="13"/>
        <v>486.17102773842061</v>
      </c>
      <c r="Y50" s="6">
        <f t="shared" si="8"/>
        <v>7.1943167994809558</v>
      </c>
      <c r="AB50">
        <f t="shared" si="19"/>
        <v>47</v>
      </c>
      <c r="AC50" s="6">
        <f t="shared" si="21"/>
        <v>-0.56987395646478944</v>
      </c>
      <c r="AD50" s="6">
        <f t="shared" si="22"/>
        <v>-1.6184693417715152</v>
      </c>
      <c r="AE50" s="6">
        <f t="shared" si="23"/>
        <v>-1.4373866729893052</v>
      </c>
      <c r="AF50" s="6">
        <f t="shared" si="14"/>
        <v>0.7833562220014727</v>
      </c>
      <c r="AG50" s="6">
        <f t="shared" si="15"/>
        <v>6.3695213461792299</v>
      </c>
      <c r="AH50" s="6">
        <f t="shared" si="16"/>
        <v>-0.78811035742285185</v>
      </c>
      <c r="AI50" s="6">
        <f t="shared" si="17"/>
        <v>7.1943167994809558</v>
      </c>
    </row>
    <row r="51" spans="2:35" x14ac:dyDescent="0.2">
      <c r="B51" t="s">
        <v>95</v>
      </c>
      <c r="C51" s="6">
        <v>713509.00776950188</v>
      </c>
      <c r="D51" s="6">
        <v>520537.77838245197</v>
      </c>
      <c r="E51" s="6">
        <v>134575.125472885</v>
      </c>
      <c r="F51" s="6">
        <v>7006645.0451060422</v>
      </c>
      <c r="G51" s="6">
        <f t="shared" si="1"/>
        <v>981.99812038946664</v>
      </c>
      <c r="H51" s="6">
        <v>43900313</v>
      </c>
      <c r="I51" s="6">
        <f t="shared" si="2"/>
        <v>1.1309874279406418</v>
      </c>
      <c r="J51" s="9">
        <v>29.571381394940214</v>
      </c>
      <c r="K51" s="6">
        <v>1242.8426626709127</v>
      </c>
      <c r="L51">
        <f t="shared" si="3"/>
        <v>126.56263152295988</v>
      </c>
      <c r="M51" s="7">
        <f>AVERAGE(M48:M50)</f>
        <v>11153.477543616042</v>
      </c>
      <c r="N51" s="6">
        <f t="shared" si="18"/>
        <v>1.2046712258601477</v>
      </c>
      <c r="O51" s="7">
        <v>42.857799999999997</v>
      </c>
      <c r="P51" s="8">
        <f t="shared" si="4"/>
        <v>104.50547548043043</v>
      </c>
      <c r="S51" s="6">
        <f t="shared" si="5"/>
        <v>1303.9526664156388</v>
      </c>
      <c r="T51" s="6">
        <f t="shared" si="6"/>
        <v>1168.6786794599705</v>
      </c>
      <c r="U51" s="6">
        <f t="shared" si="7"/>
        <v>1335.4859259390864</v>
      </c>
      <c r="V51" s="6">
        <f t="shared" si="20"/>
        <v>10.718488789774259</v>
      </c>
      <c r="W51" s="6">
        <f t="shared" si="12"/>
        <v>7.4470373857877803</v>
      </c>
      <c r="X51" s="6">
        <f t="shared" si="13"/>
        <v>484.07372964940754</v>
      </c>
      <c r="Y51" s="6">
        <f t="shared" si="8"/>
        <v>7.3928453487350536</v>
      </c>
      <c r="AB51">
        <f t="shared" si="19"/>
        <v>48</v>
      </c>
      <c r="AC51" s="6">
        <f t="shared" si="21"/>
        <v>-0.26784917988720736</v>
      </c>
      <c r="AD51" s="6">
        <f t="shared" si="22"/>
        <v>-4.873007054011623</v>
      </c>
      <c r="AE51" s="6">
        <f t="shared" si="23"/>
        <v>-0.98254098970437553</v>
      </c>
      <c r="AF51" s="6">
        <f t="shared" si="14"/>
        <v>-3.8375428914105836</v>
      </c>
      <c r="AG51" s="6">
        <f t="shared" si="15"/>
        <v>7.4470373857877803</v>
      </c>
      <c r="AH51" s="6">
        <f t="shared" si="16"/>
        <v>-2.0972980890130657</v>
      </c>
      <c r="AI51" s="6">
        <f t="shared" si="17"/>
        <v>7.3928453487350536</v>
      </c>
    </row>
    <row r="52" spans="2:35" x14ac:dyDescent="0.2">
      <c r="B52" t="s">
        <v>96</v>
      </c>
      <c r="C52" s="6">
        <v>701417.69900093763</v>
      </c>
      <c r="D52" s="6">
        <v>515965.86202965898</v>
      </c>
      <c r="E52" s="6">
        <v>131381.95063628699</v>
      </c>
      <c r="F52" s="6">
        <v>8414556.4821792115</v>
      </c>
      <c r="G52" s="6">
        <f t="shared" si="1"/>
        <v>1199.6498654317479</v>
      </c>
      <c r="H52" s="6">
        <v>43997137.451602891</v>
      </c>
      <c r="I52" s="6">
        <f t="shared" si="2"/>
        <v>1.1334818802576472</v>
      </c>
      <c r="J52" s="9">
        <v>30.435982203026324</v>
      </c>
      <c r="K52" s="6">
        <v>1372.6369666842572</v>
      </c>
      <c r="L52">
        <f t="shared" si="3"/>
        <v>114.41979916283758</v>
      </c>
      <c r="M52" s="6">
        <v>11472.398929121075</v>
      </c>
      <c r="N52" s="6">
        <f t="shared" si="18"/>
        <v>1.2391174705337893</v>
      </c>
      <c r="O52" s="6">
        <v>43.907600000000002</v>
      </c>
      <c r="P52" s="8">
        <f t="shared" si="4"/>
        <v>107.06533268633824</v>
      </c>
      <c r="S52" s="6">
        <f t="shared" si="5"/>
        <v>1302.8501678237308</v>
      </c>
      <c r="T52" s="6">
        <f t="shared" si="6"/>
        <v>1166.0569808440573</v>
      </c>
      <c r="U52" s="6">
        <f t="shared" si="7"/>
        <v>1333.5564645008715</v>
      </c>
      <c r="V52" s="6">
        <f t="shared" si="20"/>
        <v>15.737425172968031</v>
      </c>
      <c r="W52" s="6">
        <f t="shared" si="12"/>
        <v>20.019562010454273</v>
      </c>
      <c r="X52" s="6">
        <f t="shared" si="13"/>
        <v>473.98741335761042</v>
      </c>
      <c r="Y52" s="6">
        <f t="shared" si="8"/>
        <v>7.608995550756581</v>
      </c>
      <c r="AB52">
        <f t="shared" si="19"/>
        <v>49</v>
      </c>
      <c r="AC52" s="6">
        <f t="shared" si="21"/>
        <v>-1.1024985919079882</v>
      </c>
      <c r="AD52" s="6">
        <f t="shared" si="22"/>
        <v>-2.6216986159131466</v>
      </c>
      <c r="AE52" s="6">
        <f t="shared" si="23"/>
        <v>-1.9294614382149575</v>
      </c>
      <c r="AF52" s="6">
        <f t="shared" si="14"/>
        <v>1.1813934917831883</v>
      </c>
      <c r="AG52" s="6">
        <f t="shared" si="15"/>
        <v>20.019562010454273</v>
      </c>
      <c r="AH52" s="6">
        <f t="shared" si="16"/>
        <v>-10.086316291797118</v>
      </c>
      <c r="AI52" s="6">
        <f t="shared" si="17"/>
        <v>7.608995550756581</v>
      </c>
    </row>
    <row r="53" spans="2:35" x14ac:dyDescent="0.2">
      <c r="B53" t="s">
        <v>97</v>
      </c>
      <c r="C53" s="6">
        <v>703218.45737271302</v>
      </c>
      <c r="D53" s="6">
        <v>513833.28890137799</v>
      </c>
      <c r="E53" s="6">
        <v>131200.93706173499</v>
      </c>
      <c r="F53" s="6">
        <v>8527628.8252780307</v>
      </c>
      <c r="G53" s="6">
        <f t="shared" si="1"/>
        <v>1212.6571388836996</v>
      </c>
      <c r="H53" s="6">
        <v>44094175.454631448</v>
      </c>
      <c r="I53" s="6">
        <f t="shared" si="2"/>
        <v>1.1359818342205668</v>
      </c>
      <c r="J53" s="9">
        <v>26.109783897799215</v>
      </c>
      <c r="K53" s="6">
        <v>1477.4469038707521</v>
      </c>
      <c r="L53">
        <f t="shared" si="3"/>
        <v>121.83550127209099</v>
      </c>
      <c r="M53" s="6">
        <v>11614.217899588288</v>
      </c>
      <c r="N53" s="6">
        <f t="shared" si="18"/>
        <v>1.2544351355700856</v>
      </c>
      <c r="O53" s="6">
        <v>42.662300000000002</v>
      </c>
      <c r="P53" s="8">
        <f t="shared" si="4"/>
        <v>104.02876364602866</v>
      </c>
      <c r="S53" s="6">
        <f t="shared" si="5"/>
        <v>1302.2156822000618</v>
      </c>
      <c r="T53" s="6">
        <f t="shared" si="6"/>
        <v>1165.6987968537373</v>
      </c>
      <c r="U53" s="6">
        <f t="shared" si="7"/>
        <v>1333.5925543526444</v>
      </c>
      <c r="V53" s="6">
        <f t="shared" si="20"/>
        <v>13.868529934839632</v>
      </c>
      <c r="W53" s="6">
        <f t="shared" si="12"/>
        <v>1.078419910024575</v>
      </c>
      <c r="X53" s="6">
        <f t="shared" si="13"/>
        <v>480.26717846623751</v>
      </c>
      <c r="Y53" s="6">
        <f t="shared" si="8"/>
        <v>6.5274459744498037</v>
      </c>
      <c r="AB53">
        <f t="shared" si="19"/>
        <v>50</v>
      </c>
      <c r="AC53" s="6">
        <f t="shared" si="21"/>
        <v>-0.63448562366897931</v>
      </c>
      <c r="AD53" s="6">
        <f t="shared" si="22"/>
        <v>-0.35818399031995796</v>
      </c>
      <c r="AE53" s="6">
        <f t="shared" si="23"/>
        <v>3.6089851772885595E-2</v>
      </c>
      <c r="AF53" s="6">
        <f t="shared" si="14"/>
        <v>-0.68750174634521066</v>
      </c>
      <c r="AG53" s="6">
        <f t="shared" si="15"/>
        <v>1.078419910024575</v>
      </c>
      <c r="AH53" s="6">
        <f t="shared" si="16"/>
        <v>6.2797651086270889</v>
      </c>
      <c r="AI53" s="6">
        <f t="shared" si="17"/>
        <v>6.5274459744498037</v>
      </c>
    </row>
    <row r="54" spans="2:35" x14ac:dyDescent="0.2">
      <c r="B54" t="s">
        <v>98</v>
      </c>
      <c r="C54" s="6">
        <v>707766.23024749616</v>
      </c>
      <c r="D54" s="6">
        <v>517983.62583770597</v>
      </c>
      <c r="E54" s="6">
        <v>133894.208768151</v>
      </c>
      <c r="F54" s="6">
        <v>8963807.8735824302</v>
      </c>
      <c r="G54" s="6">
        <f t="shared" si="1"/>
        <v>1266.4927331228998</v>
      </c>
      <c r="H54" s="6">
        <v>44191427.480084568</v>
      </c>
      <c r="I54" s="6">
        <f t="shared" si="2"/>
        <v>1.13848730196357</v>
      </c>
      <c r="J54" s="9">
        <v>23.61518554114356</v>
      </c>
      <c r="K54" s="6">
        <v>1579.3540930441688</v>
      </c>
      <c r="L54">
        <f t="shared" si="3"/>
        <v>124.70297315878156</v>
      </c>
      <c r="M54" s="6">
        <v>11596.750383613278</v>
      </c>
      <c r="N54" s="6">
        <f t="shared" si="18"/>
        <v>1.2525484940450491</v>
      </c>
      <c r="O54" s="6">
        <v>42.877200000000002</v>
      </c>
      <c r="P54" s="8">
        <f t="shared" si="4"/>
        <v>104.55278090031481</v>
      </c>
      <c r="S54" s="6">
        <f t="shared" si="5"/>
        <v>1302.7998457234473</v>
      </c>
      <c r="T54" s="6">
        <f t="shared" si="6"/>
        <v>1167.5104827163761</v>
      </c>
      <c r="U54" s="6">
        <f t="shared" si="7"/>
        <v>1334.01686817315</v>
      </c>
      <c r="V54" s="6">
        <f t="shared" si="20"/>
        <v>14.000165616459245</v>
      </c>
      <c r="W54" s="6">
        <f t="shared" si="12"/>
        <v>4.3437518168320643</v>
      </c>
      <c r="X54" s="6">
        <f t="shared" si="13"/>
        <v>482.59346948939969</v>
      </c>
      <c r="Y54" s="6">
        <f t="shared" si="8"/>
        <v>5.9037963852858901</v>
      </c>
      <c r="AB54">
        <f t="shared" si="19"/>
        <v>51</v>
      </c>
      <c r="AC54" s="6">
        <f t="shared" si="21"/>
        <v>0.58416352338554134</v>
      </c>
      <c r="AD54" s="6">
        <f t="shared" si="22"/>
        <v>1.8116858626387966</v>
      </c>
      <c r="AE54" s="6">
        <f t="shared" si="23"/>
        <v>0.42431382050563116</v>
      </c>
      <c r="AF54" s="6">
        <f t="shared" si="14"/>
        <v>-0.5558660647255973</v>
      </c>
      <c r="AG54" s="6">
        <f t="shared" si="15"/>
        <v>4.3437518168320643</v>
      </c>
      <c r="AH54" s="6">
        <f t="shared" si="16"/>
        <v>2.3262910231621845</v>
      </c>
      <c r="AI54" s="6">
        <f t="shared" si="17"/>
        <v>5.9037963852858901</v>
      </c>
    </row>
    <row r="55" spans="2:35" x14ac:dyDescent="0.2">
      <c r="B55" t="s">
        <v>99</v>
      </c>
      <c r="C55" s="6">
        <v>714739.75730170158</v>
      </c>
      <c r="D55" s="6">
        <v>531022.64511520404</v>
      </c>
      <c r="E55" s="6">
        <v>139328.36853583</v>
      </c>
      <c r="F55" s="6">
        <v>9240877.7309983596</v>
      </c>
      <c r="G55" s="6">
        <f t="shared" si="1"/>
        <v>1292.9010365793401</v>
      </c>
      <c r="H55" s="6">
        <v>44288894</v>
      </c>
      <c r="I55" s="6">
        <f t="shared" si="2"/>
        <v>1.1409982956475895</v>
      </c>
      <c r="J55" s="9">
        <v>21.442121931951068</v>
      </c>
      <c r="K55" s="6">
        <v>1675.7667949071165</v>
      </c>
      <c r="L55">
        <f t="shared" si="3"/>
        <v>129.61292067185076</v>
      </c>
      <c r="M55" s="6">
        <v>11460.822205311768</v>
      </c>
      <c r="N55" s="6">
        <f t="shared" si="18"/>
        <v>1.2378670850815154</v>
      </c>
      <c r="O55" s="6">
        <v>44.316499999999998</v>
      </c>
      <c r="P55" s="8">
        <f t="shared" si="4"/>
        <v>108.06240413946809</v>
      </c>
      <c r="S55" s="6">
        <f t="shared" si="5"/>
        <v>1305.0656368339603</v>
      </c>
      <c r="T55" s="6">
        <f t="shared" si="6"/>
        <v>1171.2685212542822</v>
      </c>
      <c r="U55" s="6">
        <f t="shared" si="7"/>
        <v>1334.7770202475915</v>
      </c>
      <c r="V55" s="6">
        <f t="shared" si="20"/>
        <v>15.90249191104482</v>
      </c>
      <c r="W55" s="6">
        <f t="shared" si="12"/>
        <v>2.0637106345620992</v>
      </c>
      <c r="X55" s="6">
        <f t="shared" si="13"/>
        <v>486.45524754908627</v>
      </c>
      <c r="Y55" s="6">
        <f t="shared" si="8"/>
        <v>5.3605304829877669</v>
      </c>
      <c r="AB55">
        <f t="shared" si="19"/>
        <v>52</v>
      </c>
      <c r="AC55" s="6">
        <f t="shared" si="21"/>
        <v>2.2657911105129642</v>
      </c>
      <c r="AD55" s="6">
        <f t="shared" si="22"/>
        <v>3.7580385379060317</v>
      </c>
      <c r="AE55" s="6">
        <f t="shared" si="23"/>
        <v>0.76015207444152111</v>
      </c>
      <c r="AF55" s="6">
        <f t="shared" si="14"/>
        <v>1.3464602298599768</v>
      </c>
      <c r="AG55" s="6">
        <f t="shared" si="15"/>
        <v>2.0637106345620992</v>
      </c>
      <c r="AH55" s="6">
        <f t="shared" si="16"/>
        <v>3.8617780596865714</v>
      </c>
      <c r="AI55" s="6">
        <f t="shared" si="17"/>
        <v>5.3605304829877669</v>
      </c>
    </row>
    <row r="56" spans="2:35" x14ac:dyDescent="0.2">
      <c r="B56" t="s">
        <v>100</v>
      </c>
      <c r="C56" s="6">
        <v>721738.8931862677</v>
      </c>
      <c r="D56" s="6">
        <v>533233.12159790704</v>
      </c>
      <c r="E56" s="6">
        <v>146885.02152383199</v>
      </c>
      <c r="F56" s="6">
        <v>10558208.304643149</v>
      </c>
      <c r="G56" s="6">
        <f t="shared" si="1"/>
        <v>1462.8847640497415</v>
      </c>
      <c r="H56" s="6">
        <v>44380108.821806945</v>
      </c>
      <c r="I56" s="6">
        <f t="shared" si="2"/>
        <v>1.1433482291595785</v>
      </c>
      <c r="J56" s="9">
        <v>23.418199215352228</v>
      </c>
      <c r="K56" s="6">
        <v>1790.0624979220629</v>
      </c>
      <c r="L56">
        <f t="shared" si="3"/>
        <v>122.36524310818488</v>
      </c>
      <c r="M56" s="6">
        <v>11511.048174200001</v>
      </c>
      <c r="N56" s="6">
        <f t="shared" si="18"/>
        <v>1.2432919204545183</v>
      </c>
      <c r="O56" s="6">
        <v>42.018999999999998</v>
      </c>
      <c r="P56" s="8">
        <f t="shared" si="4"/>
        <v>102.46012567635776</v>
      </c>
      <c r="S56" s="6">
        <f t="shared" si="5"/>
        <v>1305.2752983038795</v>
      </c>
      <c r="T56" s="6">
        <f t="shared" si="6"/>
        <v>1176.3444392360184</v>
      </c>
      <c r="U56" s="6">
        <f t="shared" si="7"/>
        <v>1335.5457707835419</v>
      </c>
      <c r="V56" s="6">
        <f t="shared" si="20"/>
        <v>10.810515475482775</v>
      </c>
      <c r="W56" s="6">
        <f t="shared" si="12"/>
        <v>12.352179302687283</v>
      </c>
      <c r="X56" s="6">
        <f t="shared" si="13"/>
        <v>480.70103682190785</v>
      </c>
      <c r="Y56" s="6">
        <f t="shared" si="8"/>
        <v>5.854549803838057</v>
      </c>
      <c r="AB56">
        <f t="shared" si="19"/>
        <v>53</v>
      </c>
      <c r="AC56" s="6">
        <f t="shared" si="21"/>
        <v>0.20966146991918322</v>
      </c>
      <c r="AD56" s="6">
        <f t="shared" si="22"/>
        <v>5.075917981736211</v>
      </c>
      <c r="AE56" s="6">
        <f t="shared" si="23"/>
        <v>0.76875053595040299</v>
      </c>
      <c r="AF56" s="6">
        <f t="shared" si="14"/>
        <v>-3.7455162057020672</v>
      </c>
      <c r="AG56" s="6">
        <f t="shared" si="15"/>
        <v>12.352179302687283</v>
      </c>
      <c r="AH56" s="6">
        <f t="shared" si="16"/>
        <v>-5.7542107271784175</v>
      </c>
      <c r="AI56" s="6">
        <f t="shared" si="17"/>
        <v>5.854549803838057</v>
      </c>
    </row>
    <row r="57" spans="2:35" x14ac:dyDescent="0.2">
      <c r="B57" t="s">
        <v>101</v>
      </c>
      <c r="C57" s="6">
        <v>731047.79495902965</v>
      </c>
      <c r="D57" s="6">
        <v>541378.43109493505</v>
      </c>
      <c r="E57" s="6">
        <v>154564.72902407599</v>
      </c>
      <c r="F57" s="6">
        <v>11116422.3178693</v>
      </c>
      <c r="G57" s="6">
        <f t="shared" si="1"/>
        <v>1520.6149850287561</v>
      </c>
      <c r="H57" s="6">
        <v>44471511.504338458</v>
      </c>
      <c r="I57" s="6">
        <f t="shared" si="2"/>
        <v>1.1457030024575088</v>
      </c>
      <c r="J57" s="9">
        <v>25.536971633510809</v>
      </c>
      <c r="K57" s="6">
        <v>1935.2517333619101</v>
      </c>
      <c r="L57">
        <f t="shared" si="3"/>
        <v>127.26770105618239</v>
      </c>
      <c r="M57" s="6">
        <v>11810.801320500001</v>
      </c>
      <c r="N57" s="6">
        <f t="shared" si="18"/>
        <v>1.2756678309090421</v>
      </c>
      <c r="O57" s="6">
        <v>41.991199999999999</v>
      </c>
      <c r="P57" s="8">
        <f t="shared" si="4"/>
        <v>102.39233749734822</v>
      </c>
      <c r="S57" s="6">
        <f t="shared" si="5"/>
        <v>1306.5855391693076</v>
      </c>
      <c r="T57" s="6">
        <f t="shared" si="6"/>
        <v>1181.2349821120629</v>
      </c>
      <c r="U57" s="6">
        <f t="shared" si="7"/>
        <v>1336.6215695029923</v>
      </c>
      <c r="V57" s="6">
        <f t="shared" si="20"/>
        <v>13.109310057361901</v>
      </c>
      <c r="W57" s="6">
        <f t="shared" si="12"/>
        <v>3.8704496392766075</v>
      </c>
      <c r="X57" s="6">
        <f t="shared" si="13"/>
        <v>484.62927503237376</v>
      </c>
      <c r="Y57" s="6">
        <f t="shared" si="8"/>
        <v>6.3842429083777024</v>
      </c>
      <c r="AB57">
        <f t="shared" si="19"/>
        <v>54</v>
      </c>
      <c r="AC57" s="6">
        <f t="shared" si="21"/>
        <v>1.3102408654281135</v>
      </c>
      <c r="AD57" s="6">
        <f t="shared" si="22"/>
        <v>4.890542876044492</v>
      </c>
      <c r="AE57" s="6">
        <f t="shared" si="23"/>
        <v>1.075798719450404</v>
      </c>
      <c r="AF57" s="6">
        <f t="shared" si="14"/>
        <v>-1.4467216238229419</v>
      </c>
      <c r="AG57" s="6">
        <f t="shared" si="15"/>
        <v>3.8704496392766075</v>
      </c>
      <c r="AH57" s="6">
        <f t="shared" si="16"/>
        <v>3.9282382104659064</v>
      </c>
      <c r="AI57" s="6">
        <f t="shared" si="17"/>
        <v>6.3842429083777024</v>
      </c>
    </row>
    <row r="58" spans="2:35" x14ac:dyDescent="0.2">
      <c r="B58" t="s">
        <v>102</v>
      </c>
      <c r="C58" s="6">
        <v>738033.34560429957</v>
      </c>
      <c r="D58" s="6">
        <v>548696.30107672501</v>
      </c>
      <c r="E58" s="6">
        <v>161331.938733246</v>
      </c>
      <c r="F58" s="6">
        <v>11725405.625723016</v>
      </c>
      <c r="G58" s="6">
        <f t="shared" si="1"/>
        <v>1588.7365653000797</v>
      </c>
      <c r="H58" s="6">
        <v>44563102.434501536</v>
      </c>
      <c r="I58" s="6">
        <f t="shared" si="2"/>
        <v>1.148062625509122</v>
      </c>
      <c r="J58" s="9">
        <v>27.281776146484809</v>
      </c>
      <c r="K58" s="6">
        <v>2017.8245473767895</v>
      </c>
      <c r="L58">
        <f t="shared" si="3"/>
        <v>127.00812654838494</v>
      </c>
      <c r="M58" s="6">
        <v>12011.328039999999</v>
      </c>
      <c r="N58" s="6">
        <f t="shared" si="18"/>
        <v>1.2973264363128827</v>
      </c>
      <c r="O58" s="6">
        <v>42.094900000000003</v>
      </c>
      <c r="P58" s="8">
        <f t="shared" si="4"/>
        <v>102.6452020355961</v>
      </c>
      <c r="S58" s="6">
        <f t="shared" si="5"/>
        <v>1307.7224533528745</v>
      </c>
      <c r="T58" s="6">
        <f t="shared" si="6"/>
        <v>1185.3143404531188</v>
      </c>
      <c r="U58" s="6">
        <f t="shared" si="7"/>
        <v>1337.3668438060827</v>
      </c>
      <c r="V58" s="6">
        <f t="shared" si="20"/>
        <v>14.833792646634885</v>
      </c>
      <c r="W58" s="6">
        <f t="shared" si="12"/>
        <v>4.3824238895869172</v>
      </c>
      <c r="X58" s="6">
        <f t="shared" si="13"/>
        <v>484.42510729813699</v>
      </c>
      <c r="Y58" s="6">
        <f t="shared" si="8"/>
        <v>6.8204440366212022</v>
      </c>
      <c r="AB58">
        <f t="shared" si="19"/>
        <v>55</v>
      </c>
      <c r="AC58" s="6">
        <f t="shared" si="21"/>
        <v>1.136914183566887</v>
      </c>
      <c r="AD58" s="6">
        <f t="shared" si="22"/>
        <v>4.0793583410559222</v>
      </c>
      <c r="AE58" s="6">
        <f t="shared" si="23"/>
        <v>0.74527430309035481</v>
      </c>
      <c r="AF58" s="6">
        <f t="shared" si="14"/>
        <v>0.27776096545004236</v>
      </c>
      <c r="AG58" s="6">
        <f t="shared" si="15"/>
        <v>4.3824238895869172</v>
      </c>
      <c r="AH58" s="6">
        <f t="shared" si="16"/>
        <v>-0.20416773423676204</v>
      </c>
      <c r="AI58" s="6">
        <f t="shared" si="17"/>
        <v>6.8204440366212022</v>
      </c>
    </row>
    <row r="59" spans="2:35" x14ac:dyDescent="0.2">
      <c r="B59" t="s">
        <v>103</v>
      </c>
      <c r="C59" s="6">
        <v>734123.80379438028</v>
      </c>
      <c r="D59" s="6">
        <v>546556.08065164997</v>
      </c>
      <c r="E59" s="6">
        <v>161283.20614789001</v>
      </c>
      <c r="F59" s="6">
        <v>12457790.347179031</v>
      </c>
      <c r="G59" s="6">
        <f t="shared" si="1"/>
        <v>1696.960414958608</v>
      </c>
      <c r="H59" s="6">
        <v>44654882</v>
      </c>
      <c r="I59" s="6">
        <f t="shared" si="2"/>
        <v>1.1504271083026869</v>
      </c>
      <c r="J59" s="9">
        <v>24.942407639672926</v>
      </c>
      <c r="K59" s="6">
        <v>2093.0368217870782</v>
      </c>
      <c r="L59">
        <f t="shared" si="3"/>
        <v>123.34034449696524</v>
      </c>
      <c r="M59" s="6">
        <v>11866.38193</v>
      </c>
      <c r="N59" s="6">
        <f t="shared" si="18"/>
        <v>1.2816710133889981</v>
      </c>
      <c r="O59" s="6">
        <v>44.2836</v>
      </c>
      <c r="P59" s="8">
        <f t="shared" si="4"/>
        <v>107.98217999956108</v>
      </c>
      <c r="S59" s="6">
        <f t="shared" si="5"/>
        <v>1307.1258927229828</v>
      </c>
      <c r="T59" s="6">
        <f t="shared" si="6"/>
        <v>1185.0783871108874</v>
      </c>
      <c r="U59" s="6">
        <f t="shared" si="7"/>
        <v>1336.6299691445181</v>
      </c>
      <c r="V59" s="6">
        <f t="shared" si="20"/>
        <v>18.482746131479537</v>
      </c>
      <c r="W59" s="6">
        <f t="shared" si="12"/>
        <v>6.5899572156119746</v>
      </c>
      <c r="X59" s="6">
        <f t="shared" si="13"/>
        <v>481.49475626271067</v>
      </c>
      <c r="Y59" s="6">
        <f t="shared" si="8"/>
        <v>6.2356019099182314</v>
      </c>
      <c r="AB59">
        <f t="shared" si="19"/>
        <v>56</v>
      </c>
      <c r="AC59" s="6">
        <f t="shared" si="21"/>
        <v>-0.59656062989165548</v>
      </c>
      <c r="AD59" s="6">
        <f t="shared" si="22"/>
        <v>-0.23595334223136888</v>
      </c>
      <c r="AE59" s="6">
        <f t="shared" si="23"/>
        <v>-0.73687466156457049</v>
      </c>
      <c r="AF59" s="6">
        <f t="shared" si="14"/>
        <v>3.9267144502946945</v>
      </c>
      <c r="AG59" s="6">
        <f t="shared" si="15"/>
        <v>6.5899572156119746</v>
      </c>
      <c r="AH59" s="6">
        <f t="shared" si="16"/>
        <v>-2.9303510354263267</v>
      </c>
      <c r="AI59" s="6">
        <f t="shared" si="17"/>
        <v>6.2356019099182314</v>
      </c>
    </row>
    <row r="60" spans="2:35" x14ac:dyDescent="0.2">
      <c r="B60" t="s">
        <v>104</v>
      </c>
      <c r="C60" s="6">
        <v>703511.92695430492</v>
      </c>
      <c r="D60" s="6">
        <v>540219.07334698201</v>
      </c>
      <c r="E60" s="6">
        <v>149629.186079993</v>
      </c>
      <c r="F60" s="6">
        <v>14431394.012697566</v>
      </c>
      <c r="G60" s="6">
        <f t="shared" si="1"/>
        <v>2051.3360839772836</v>
      </c>
      <c r="H60" s="6">
        <v>44734315.550084457</v>
      </c>
      <c r="I60" s="6">
        <f t="shared" si="2"/>
        <v>1.152473525295254</v>
      </c>
      <c r="J60" s="9">
        <v>38.790377481411426</v>
      </c>
      <c r="K60" s="6">
        <v>2239.0035790161432</v>
      </c>
      <c r="L60">
        <f t="shared" si="3"/>
        <v>109.14854940176335</v>
      </c>
      <c r="M60" s="6">
        <v>11757.599166</v>
      </c>
      <c r="N60" s="6">
        <f t="shared" si="18"/>
        <v>1.2699215419664871</v>
      </c>
      <c r="O60" s="6">
        <v>42.1706</v>
      </c>
      <c r="P60" s="8">
        <f t="shared" si="4"/>
        <v>102.82979071009338</v>
      </c>
      <c r="S60" s="6">
        <f t="shared" si="5"/>
        <v>1305.7819503572689</v>
      </c>
      <c r="T60" s="6">
        <f t="shared" si="6"/>
        <v>1177.4004895531164</v>
      </c>
      <c r="U60" s="6">
        <f t="shared" si="7"/>
        <v>1332.1929585049763</v>
      </c>
      <c r="V60" s="6">
        <f t="shared" si="20"/>
        <v>12.494951445331189</v>
      </c>
      <c r="W60" s="6">
        <f t="shared" si="12"/>
        <v>18.965266963906924</v>
      </c>
      <c r="X60" s="6">
        <f t="shared" si="13"/>
        <v>469.27097929558619</v>
      </c>
      <c r="Y60" s="6">
        <f t="shared" si="8"/>
        <v>9.6975943703528564</v>
      </c>
      <c r="AB60">
        <f t="shared" si="19"/>
        <v>57</v>
      </c>
      <c r="AC60" s="6">
        <f t="shared" si="21"/>
        <v>-1.3439423657139287</v>
      </c>
      <c r="AD60" s="6">
        <f t="shared" si="22"/>
        <v>-7.6778975577710753</v>
      </c>
      <c r="AE60" s="6">
        <f t="shared" si="23"/>
        <v>-4.4370106395417679</v>
      </c>
      <c r="AF60" s="6">
        <f t="shared" si="14"/>
        <v>-2.0610802358536535</v>
      </c>
      <c r="AG60" s="6">
        <f t="shared" si="15"/>
        <v>18.965266963906924</v>
      </c>
      <c r="AH60" s="6">
        <f t="shared" si="16"/>
        <v>-12.223776967124479</v>
      </c>
      <c r="AI60" s="6">
        <f t="shared" si="17"/>
        <v>9.6975943703528564</v>
      </c>
    </row>
    <row r="61" spans="2:35" x14ac:dyDescent="0.2">
      <c r="B61" t="s">
        <v>105</v>
      </c>
      <c r="C61" s="6">
        <v>701395.88870482845</v>
      </c>
      <c r="D61" s="6">
        <v>529813.27894750296</v>
      </c>
      <c r="E61" s="6">
        <v>135905.66829864401</v>
      </c>
      <c r="F61" s="6">
        <v>15276275.653390341</v>
      </c>
      <c r="G61" s="6">
        <f t="shared" si="1"/>
        <v>2177.9819213937712</v>
      </c>
      <c r="H61" s="6">
        <v>44813890.399139971</v>
      </c>
      <c r="I61" s="6">
        <f t="shared" si="2"/>
        <v>1.1545235825206333</v>
      </c>
      <c r="J61" s="9">
        <v>46.965615496137552</v>
      </c>
      <c r="K61" s="6">
        <v>2394.5597716455554</v>
      </c>
      <c r="L61">
        <f t="shared" si="3"/>
        <v>109.94396914521623</v>
      </c>
      <c r="M61" s="6">
        <v>11937.879835200003</v>
      </c>
      <c r="N61" s="6">
        <f t="shared" si="18"/>
        <v>1.28939340030975</v>
      </c>
      <c r="O61" s="6">
        <v>42.688800000000001</v>
      </c>
      <c r="P61" s="8">
        <f t="shared" si="4"/>
        <v>104.09338187422124</v>
      </c>
      <c r="S61" s="6">
        <f t="shared" si="5"/>
        <v>1303.6592143368816</v>
      </c>
      <c r="T61" s="6">
        <f t="shared" si="6"/>
        <v>1167.602853239129</v>
      </c>
      <c r="U61" s="6">
        <f t="shared" si="7"/>
        <v>1331.7139978902069</v>
      </c>
      <c r="V61" s="6">
        <f t="shared" si="20"/>
        <v>15.060231216500139</v>
      </c>
      <c r="W61" s="6">
        <f t="shared" si="12"/>
        <v>5.9907394786250734</v>
      </c>
      <c r="X61" s="6">
        <f t="shared" si="13"/>
        <v>469.99708646116051</v>
      </c>
      <c r="Y61" s="6">
        <f t="shared" si="8"/>
        <v>11.741403874034388</v>
      </c>
      <c r="AB61">
        <f t="shared" si="19"/>
        <v>58</v>
      </c>
      <c r="AC61" s="6">
        <f t="shared" si="21"/>
        <v>-2.1227360203872649</v>
      </c>
      <c r="AD61" s="6">
        <f t="shared" si="22"/>
        <v>-9.7976363139873683</v>
      </c>
      <c r="AE61" s="6">
        <f t="shared" si="23"/>
        <v>-0.47896061476944851</v>
      </c>
      <c r="AF61" s="6">
        <f t="shared" si="14"/>
        <v>0.50419953531529593</v>
      </c>
      <c r="AG61" s="6">
        <f t="shared" si="15"/>
        <v>5.9907394786250734</v>
      </c>
      <c r="AH61" s="6">
        <f t="shared" si="16"/>
        <v>0.72610716557431942</v>
      </c>
      <c r="AI61" s="6">
        <f t="shared" si="17"/>
        <v>11.741403874034388</v>
      </c>
    </row>
    <row r="62" spans="2:35" x14ac:dyDescent="0.2">
      <c r="B62" t="s">
        <v>106</v>
      </c>
      <c r="C62" s="6">
        <v>690478.15246453509</v>
      </c>
      <c r="D62" s="6">
        <v>489361.70420470601</v>
      </c>
      <c r="E62" s="6">
        <v>120696.873025664</v>
      </c>
      <c r="F62" s="6">
        <v>16813782.695796333</v>
      </c>
      <c r="G62" s="6">
        <f t="shared" si="1"/>
        <v>2435.092643522843</v>
      </c>
      <c r="H62" s="6">
        <v>44893606.798513725</v>
      </c>
      <c r="I62" s="6">
        <f t="shared" si="2"/>
        <v>1.1565772864541888</v>
      </c>
      <c r="J62" s="9">
        <v>66.332295863904463</v>
      </c>
      <c r="K62" s="6">
        <v>2606.0975330986143</v>
      </c>
      <c r="L62">
        <f t="shared" si="3"/>
        <v>107.02252088973417</v>
      </c>
      <c r="M62" s="6">
        <v>11908.972290600002</v>
      </c>
      <c r="N62" s="6">
        <f t="shared" si="18"/>
        <v>1.2862711375846305</v>
      </c>
      <c r="O62" s="6">
        <v>42.219200000000001</v>
      </c>
      <c r="P62" s="8">
        <f t="shared" si="4"/>
        <v>102.94829810217483</v>
      </c>
      <c r="S62" s="6">
        <f t="shared" si="5"/>
        <v>1295.5392148081805</v>
      </c>
      <c r="T62" s="6">
        <f t="shared" si="6"/>
        <v>1155.5572471408746</v>
      </c>
      <c r="U62" s="6">
        <f t="shared" si="7"/>
        <v>1329.9674582817747</v>
      </c>
      <c r="V62" s="6">
        <f t="shared" si="20"/>
        <v>13.533912922575023</v>
      </c>
      <c r="W62" s="6">
        <f t="shared" si="12"/>
        <v>11.158607850959434</v>
      </c>
      <c r="X62" s="6">
        <f t="shared" si="13"/>
        <v>467.30392879200161</v>
      </c>
      <c r="Y62" s="6">
        <f t="shared" si="8"/>
        <v>16.583073965976116</v>
      </c>
      <c r="AB62">
        <f t="shared" si="19"/>
        <v>59</v>
      </c>
      <c r="AC62" s="6">
        <f t="shared" si="21"/>
        <v>-8.1199995287011006</v>
      </c>
      <c r="AD62" s="6">
        <f t="shared" si="22"/>
        <v>-12.045606098254439</v>
      </c>
      <c r="AE62" s="6">
        <f t="shared" si="23"/>
        <v>-1.7465396084321583</v>
      </c>
      <c r="AF62" s="6">
        <f t="shared" si="14"/>
        <v>-1.0221187586098193</v>
      </c>
      <c r="AG62" s="6">
        <f t="shared" si="15"/>
        <v>11.158607850959434</v>
      </c>
      <c r="AH62" s="6">
        <f t="shared" si="16"/>
        <v>-2.693157669158893</v>
      </c>
      <c r="AI62" s="6">
        <f t="shared" si="17"/>
        <v>16.583073965976116</v>
      </c>
    </row>
    <row r="63" spans="2:35" x14ac:dyDescent="0.2">
      <c r="B63" t="s">
        <v>107</v>
      </c>
      <c r="C63" s="6">
        <v>693093.70549915161</v>
      </c>
      <c r="D63" s="6">
        <v>499089.17067896301</v>
      </c>
      <c r="E63" s="6">
        <v>121371.800446653</v>
      </c>
      <c r="F63" s="6">
        <v>17484108.856974758</v>
      </c>
      <c r="G63" s="6">
        <f t="shared" si="1"/>
        <v>2522.6183297081116</v>
      </c>
      <c r="H63" s="6">
        <v>44973465</v>
      </c>
      <c r="I63" s="6">
        <f t="shared" si="2"/>
        <v>1.1586346435828025</v>
      </c>
      <c r="J63" s="9">
        <v>56.815077787291642</v>
      </c>
      <c r="K63" s="6">
        <v>2834.9999478441932</v>
      </c>
      <c r="L63">
        <f t="shared" si="3"/>
        <v>112.38322953802636</v>
      </c>
      <c r="M63" s="6">
        <v>11947.316999999999</v>
      </c>
      <c r="N63" s="6">
        <f t="shared" si="18"/>
        <v>1.2904126950403665</v>
      </c>
      <c r="O63" s="6">
        <v>43.141100000000002</v>
      </c>
      <c r="P63" s="8">
        <f t="shared" si="4"/>
        <v>105.19628091616455</v>
      </c>
      <c r="S63" s="6">
        <f t="shared" si="5"/>
        <v>1297.3297777045721</v>
      </c>
      <c r="T63" s="6">
        <f t="shared" si="6"/>
        <v>1155.9371563874856</v>
      </c>
      <c r="U63" s="6">
        <f t="shared" si="7"/>
        <v>1330.1678205722862</v>
      </c>
      <c r="V63" s="6">
        <f t="shared" si="20"/>
        <v>15.837756655047899</v>
      </c>
      <c r="W63" s="6">
        <f t="shared" si="12"/>
        <v>3.5312579409293221</v>
      </c>
      <c r="X63" s="6">
        <f t="shared" si="13"/>
        <v>472.19147229293145</v>
      </c>
      <c r="Y63" s="6">
        <f t="shared" si="8"/>
        <v>14.203769446822911</v>
      </c>
      <c r="AB63">
        <f t="shared" si="19"/>
        <v>60</v>
      </c>
      <c r="AC63" s="6">
        <f t="shared" si="21"/>
        <v>1.7905628963915206</v>
      </c>
      <c r="AD63" s="6">
        <f t="shared" si="22"/>
        <v>0.37990924661107783</v>
      </c>
      <c r="AE63" s="6">
        <f t="shared" si="23"/>
        <v>0.20036229051152077</v>
      </c>
      <c r="AF63" s="6">
        <f t="shared" si="14"/>
        <v>1.2817249738630565</v>
      </c>
      <c r="AG63" s="6">
        <f t="shared" si="15"/>
        <v>3.5312579409293221</v>
      </c>
      <c r="AH63" s="6">
        <f t="shared" si="16"/>
        <v>4.8875435009298371</v>
      </c>
      <c r="AI63" s="6">
        <f t="shared" si="17"/>
        <v>14.203769446822911</v>
      </c>
    </row>
    <row r="64" spans="2:35" x14ac:dyDescent="0.2">
      <c r="B64" t="s">
        <v>108</v>
      </c>
      <c r="C64" s="6">
        <v>696861.35118506756</v>
      </c>
      <c r="D64" s="6">
        <v>502085.10697478999</v>
      </c>
      <c r="E64" s="6">
        <v>123765.487717978</v>
      </c>
      <c r="F64" s="6">
        <v>21233558.154751204</v>
      </c>
      <c r="G64" s="6">
        <f t="shared" si="1"/>
        <v>3047.0276646339862</v>
      </c>
      <c r="H64" s="6">
        <v>45027990.759408183</v>
      </c>
      <c r="I64" s="6">
        <f t="shared" si="2"/>
        <v>1.1600393704326901</v>
      </c>
      <c r="J64" s="9">
        <v>70.505145967400296</v>
      </c>
      <c r="K64" s="6">
        <v>3121.0761314902193</v>
      </c>
      <c r="L64">
        <f t="shared" si="3"/>
        <v>102.4301868905128</v>
      </c>
      <c r="M64" s="6">
        <v>12073.393</v>
      </c>
      <c r="N64" s="6">
        <f t="shared" si="18"/>
        <v>1.3040299842560046</v>
      </c>
      <c r="O64" s="6">
        <v>41.010100000000001</v>
      </c>
      <c r="P64" s="8">
        <f t="shared" si="4"/>
        <v>100</v>
      </c>
      <c r="S64" s="6">
        <f t="shared" si="5"/>
        <v>1297.8070975540145</v>
      </c>
      <c r="T64" s="6">
        <f t="shared" si="6"/>
        <v>1157.7689881306003</v>
      </c>
      <c r="U64" s="6">
        <f t="shared" si="7"/>
        <v>1330.5887803124913</v>
      </c>
      <c r="V64" s="6">
        <f t="shared" si="20"/>
        <v>11.700551273095034</v>
      </c>
      <c r="W64" s="6">
        <f t="shared" si="12"/>
        <v>18.886919742323283</v>
      </c>
      <c r="X64" s="6">
        <f t="shared" si="13"/>
        <v>462.91814630149008</v>
      </c>
      <c r="Y64" s="6">
        <f t="shared" si="8"/>
        <v>17.626286491850074</v>
      </c>
      <c r="AB64">
        <f t="shared" si="19"/>
        <v>61</v>
      </c>
      <c r="AC64" s="6">
        <f t="shared" si="21"/>
        <v>0.47731984944243777</v>
      </c>
      <c r="AD64" s="6">
        <f t="shared" si="22"/>
        <v>1.8318317431146625</v>
      </c>
      <c r="AE64" s="6">
        <f t="shared" si="23"/>
        <v>0.4209597402050349</v>
      </c>
      <c r="AF64" s="6">
        <f t="shared" si="14"/>
        <v>-2.8554804080898091</v>
      </c>
      <c r="AG64" s="6">
        <f t="shared" si="15"/>
        <v>18.886919742323283</v>
      </c>
      <c r="AH64" s="6">
        <f t="shared" si="16"/>
        <v>-9.2733259914413679</v>
      </c>
      <c r="AI64" s="6">
        <f t="shared" si="17"/>
        <v>17.626286491850074</v>
      </c>
    </row>
    <row r="65" spans="2:35" x14ac:dyDescent="0.2">
      <c r="B65" t="s">
        <v>109</v>
      </c>
      <c r="C65" s="6">
        <v>696314.14262671897</v>
      </c>
      <c r="D65" s="6">
        <v>499665.43993065401</v>
      </c>
      <c r="E65" s="6">
        <v>121515.376602629</v>
      </c>
      <c r="F65" s="6">
        <v>22303884.008779511</v>
      </c>
      <c r="G65" s="6">
        <f t="shared" si="1"/>
        <v>3203.1352867029455</v>
      </c>
      <c r="H65" s="6">
        <v>45082582.625762738</v>
      </c>
      <c r="I65" s="6">
        <f t="shared" si="2"/>
        <v>1.1614458003712378</v>
      </c>
      <c r="J65" s="9">
        <v>73.129228993907475</v>
      </c>
      <c r="K65" s="6">
        <v>3449.345830897772</v>
      </c>
      <c r="L65">
        <f t="shared" si="3"/>
        <v>107.68654840202694</v>
      </c>
      <c r="M65" s="6">
        <v>12109.032307102238</v>
      </c>
      <c r="N65" s="6">
        <f t="shared" si="18"/>
        <v>1.3078793350623128</v>
      </c>
      <c r="O65" s="6">
        <v>41.049399999999999</v>
      </c>
      <c r="P65" s="8">
        <f t="shared" si="4"/>
        <v>100.09583005162142</v>
      </c>
      <c r="S65" s="6">
        <f t="shared" si="5"/>
        <v>1297.202842464249</v>
      </c>
      <c r="T65" s="6">
        <f t="shared" si="6"/>
        <v>1155.8130481493035</v>
      </c>
      <c r="U65" s="6">
        <f t="shared" si="7"/>
        <v>1330.38905831732</v>
      </c>
      <c r="V65" s="6">
        <f t="shared" si="20"/>
        <v>11.969923027521993</v>
      </c>
      <c r="W65" s="6">
        <f t="shared" si="12"/>
        <v>4.9963527967443966</v>
      </c>
      <c r="X65" s="6">
        <f t="shared" si="13"/>
        <v>467.9224677587718</v>
      </c>
      <c r="Y65" s="6">
        <f t="shared" si="8"/>
        <v>18.282307248476869</v>
      </c>
      <c r="AB65">
        <f t="shared" si="19"/>
        <v>62</v>
      </c>
      <c r="AC65" s="6">
        <f t="shared" si="21"/>
        <v>-0.60425508976550191</v>
      </c>
      <c r="AD65" s="6">
        <f t="shared" si="22"/>
        <v>-1.9559399812967513</v>
      </c>
      <c r="AE65" s="6">
        <f t="shared" si="23"/>
        <v>-0.19972199517133049</v>
      </c>
      <c r="AF65" s="6">
        <f t="shared" si="14"/>
        <v>-2.5861086536628495</v>
      </c>
      <c r="AG65" s="6">
        <f t="shared" si="15"/>
        <v>4.9963527967443966</v>
      </c>
      <c r="AH65" s="6">
        <f t="shared" si="16"/>
        <v>5.0043214572817192</v>
      </c>
      <c r="AI65" s="6">
        <f t="shared" si="17"/>
        <v>18.282307248476869</v>
      </c>
    </row>
    <row r="66" spans="2:35" x14ac:dyDescent="0.2">
      <c r="B66" t="s">
        <v>110</v>
      </c>
      <c r="C66" s="6">
        <v>686626.01504090067</v>
      </c>
      <c r="D66" s="6">
        <v>476080.73554759403</v>
      </c>
      <c r="E66" s="6">
        <v>110334.82694183799</v>
      </c>
      <c r="F66" s="6">
        <v>25212225.57629694</v>
      </c>
      <c r="G66" s="6">
        <f t="shared" si="1"/>
        <v>3671.900718005144</v>
      </c>
      <c r="H66" s="6">
        <v>45137240.679211639</v>
      </c>
      <c r="I66" s="6">
        <f t="shared" si="2"/>
        <v>1.1628539354632681</v>
      </c>
      <c r="J66" s="9">
        <v>66.339046980222349</v>
      </c>
      <c r="K66" s="6">
        <v>3761.6504162333954</v>
      </c>
      <c r="L66">
        <f t="shared" si="3"/>
        <v>102.44422998116927</v>
      </c>
      <c r="M66" s="6">
        <v>12240.119000000001</v>
      </c>
      <c r="N66" s="6">
        <f t="shared" si="18"/>
        <v>1.3220378220821292</v>
      </c>
      <c r="O66" s="6">
        <v>41.238300000000002</v>
      </c>
      <c r="P66" s="8">
        <f t="shared" si="4"/>
        <v>100.5564482895677</v>
      </c>
      <c r="S66" s="6">
        <f t="shared" si="5"/>
        <v>1292.2465458571719</v>
      </c>
      <c r="T66" s="6">
        <f t="shared" si="6"/>
        <v>1146.0397630082455</v>
      </c>
      <c r="U66" s="6">
        <f t="shared" si="7"/>
        <v>1328.8667776194225</v>
      </c>
      <c r="V66" s="6">
        <f t="shared" si="20"/>
        <v>13.384613636446357</v>
      </c>
      <c r="W66" s="6">
        <f t="shared" si="12"/>
        <v>13.657932758036395</v>
      </c>
      <c r="X66" s="6">
        <f t="shared" si="13"/>
        <v>462.9318552758881</v>
      </c>
      <c r="Y66" s="6">
        <f t="shared" si="8"/>
        <v>16.584761745055587</v>
      </c>
      <c r="AB66">
        <f t="shared" si="19"/>
        <v>63</v>
      </c>
      <c r="AC66" s="6">
        <f t="shared" si="21"/>
        <v>-4.9562966070770926</v>
      </c>
      <c r="AD66" s="6">
        <f t="shared" si="22"/>
        <v>-9.7732851410580679</v>
      </c>
      <c r="AE66" s="6">
        <f t="shared" si="23"/>
        <v>-1.5222806978974859</v>
      </c>
      <c r="AF66" s="6">
        <f t="shared" si="14"/>
        <v>-1.1714180447384859</v>
      </c>
      <c r="AG66" s="6">
        <f t="shared" si="15"/>
        <v>13.657932758036395</v>
      </c>
      <c r="AH66" s="6">
        <f t="shared" si="16"/>
        <v>-4.9906124828837051</v>
      </c>
      <c r="AI66" s="6">
        <f t="shared" si="17"/>
        <v>16.584761745055587</v>
      </c>
    </row>
    <row r="67" spans="2:35" x14ac:dyDescent="0.2">
      <c r="B67" t="s">
        <v>111</v>
      </c>
      <c r="C67" s="6">
        <v>656444.50206127646</v>
      </c>
      <c r="D67" s="6">
        <v>461295.03258827602</v>
      </c>
      <c r="E67" s="6">
        <v>100797.753371231</v>
      </c>
      <c r="F67" s="6">
        <v>24999988.082612831</v>
      </c>
      <c r="G67" s="6">
        <f t="shared" si="1"/>
        <v>3808.3932463614692</v>
      </c>
      <c r="H67" s="6">
        <v>45191965</v>
      </c>
      <c r="I67" s="6">
        <f t="shared" si="2"/>
        <v>1.164263777776106</v>
      </c>
      <c r="J67" s="9">
        <v>45.506698703852216</v>
      </c>
      <c r="K67" s="6">
        <v>4322.8656436904575</v>
      </c>
      <c r="L67">
        <f t="shared" si="3"/>
        <v>113.50890950719214</v>
      </c>
      <c r="M67" s="6">
        <v>12045.2</v>
      </c>
      <c r="N67" s="6">
        <f t="shared" si="18"/>
        <v>1.300984898475551</v>
      </c>
      <c r="O67" s="6">
        <v>40.774900000000002</v>
      </c>
      <c r="P67" s="8">
        <f t="shared" si="4"/>
        <v>99.426482744494649</v>
      </c>
      <c r="S67" s="6">
        <f t="shared" si="5"/>
        <v>1288.9704164352852</v>
      </c>
      <c r="T67" s="6">
        <f t="shared" si="6"/>
        <v>1136.8782409541141</v>
      </c>
      <c r="U67" s="6">
        <f t="shared" si="7"/>
        <v>1324.2504496222191</v>
      </c>
      <c r="V67" s="6">
        <f t="shared" ref="V67:V89" si="24">LN((P67*N67/100)/I67)*100</f>
        <v>10.528097317889626</v>
      </c>
      <c r="W67" s="6">
        <f t="shared" si="12"/>
        <v>3.6497945262150111</v>
      </c>
      <c r="X67" s="6">
        <f t="shared" si="13"/>
        <v>473.18813317013849</v>
      </c>
      <c r="Y67" s="6">
        <f t="shared" si="8"/>
        <v>11.376674675963054</v>
      </c>
      <c r="AB67">
        <f t="shared" si="19"/>
        <v>64</v>
      </c>
      <c r="AC67" s="6">
        <f t="shared" si="21"/>
        <v>-3.2761294218867079</v>
      </c>
      <c r="AD67" s="6">
        <f t="shared" si="22"/>
        <v>-9.1615220541314102</v>
      </c>
      <c r="AE67" s="6">
        <f t="shared" si="23"/>
        <v>-4.6163279972033706</v>
      </c>
      <c r="AF67" s="6">
        <f t="shared" si="14"/>
        <v>-4.0279343632952163</v>
      </c>
      <c r="AG67" s="6">
        <f t="shared" si="15"/>
        <v>3.6497945262150111</v>
      </c>
      <c r="AH67" s="6">
        <f t="shared" si="16"/>
        <v>10.256277894250388</v>
      </c>
      <c r="AI67" s="6">
        <f t="shared" si="17"/>
        <v>11.376674675963054</v>
      </c>
    </row>
    <row r="68" spans="2:35" x14ac:dyDescent="0.2">
      <c r="B68" t="s">
        <v>112</v>
      </c>
      <c r="C68" s="6">
        <v>563576.4456951567</v>
      </c>
      <c r="D68" s="6">
        <v>395051.30178520601</v>
      </c>
      <c r="E68" s="6">
        <v>76556.700071871499</v>
      </c>
      <c r="F68" s="6">
        <v>24025361.939099036</v>
      </c>
      <c r="G68" s="6">
        <f t="shared" ref="G68:G89" si="25">(F68/C68)*100</f>
        <v>4263.0173994344968</v>
      </c>
      <c r="H68" s="6">
        <v>45222014.016449407</v>
      </c>
      <c r="I68" s="6">
        <f t="shared" ref="I68:I89" si="26">H68/$H$3</f>
        <v>1.1650379194052616</v>
      </c>
      <c r="J68" s="9">
        <v>38.041151725670971</v>
      </c>
      <c r="K68" s="6">
        <v>4438.301711996256</v>
      </c>
      <c r="L68">
        <f t="shared" ref="L68:L89" si="27">K68/G68*100</f>
        <v>104.1117428370105</v>
      </c>
      <c r="M68" s="6">
        <v>9546.08</v>
      </c>
      <c r="N68" s="6">
        <f t="shared" si="18"/>
        <v>1.0310585062630331</v>
      </c>
      <c r="O68" s="6">
        <v>36.078899999999997</v>
      </c>
      <c r="P68" s="8">
        <f t="shared" ref="P68:P89" si="28">O68/$O$3*100</f>
        <v>87.975645024030655</v>
      </c>
      <c r="S68" s="6">
        <f t="shared" ref="S68:S89" si="29">LN(D68/I68)*100</f>
        <v>1273.40172780534</v>
      </c>
      <c r="T68" s="6">
        <f t="shared" ref="T68:T89" si="30">LN(E68/I68)*100</f>
        <v>1109.3033287354701</v>
      </c>
      <c r="U68" s="6">
        <f t="shared" ref="U68:U89" si="31">LN(C68/I68)*100</f>
        <v>1308.9304630207662</v>
      </c>
      <c r="V68" s="6">
        <f t="shared" si="24"/>
        <v>-25.027785571193199</v>
      </c>
      <c r="W68" s="6">
        <f t="shared" si="12"/>
        <v>11.276983920016903</v>
      </c>
      <c r="X68" s="6">
        <f t="shared" ref="X68:X89" si="32">LN(L68)*100</f>
        <v>464.54647726885901</v>
      </c>
      <c r="Y68" s="6">
        <f t="shared" ref="Y68:Y89" si="33">J68/4</f>
        <v>9.5102879314177429</v>
      </c>
      <c r="AB68">
        <f t="shared" si="19"/>
        <v>65</v>
      </c>
      <c r="AC68" s="6">
        <f t="shared" ref="AC68:AC89" si="34">S68-S67</f>
        <v>-15.5686886299452</v>
      </c>
      <c r="AD68" s="6">
        <f t="shared" ref="AD68:AD89" si="35">T68-T67</f>
        <v>-27.574912218643931</v>
      </c>
      <c r="AE68" s="6">
        <f t="shared" ref="AE68:AE89" si="36">U68-U67</f>
        <v>-15.319986601452911</v>
      </c>
      <c r="AF68" s="6">
        <f t="shared" si="14"/>
        <v>-39.58381725237804</v>
      </c>
      <c r="AG68" s="6">
        <f t="shared" si="15"/>
        <v>11.276983920016903</v>
      </c>
      <c r="AH68" s="6">
        <f t="shared" si="16"/>
        <v>-8.6416559012794778</v>
      </c>
      <c r="AI68" s="6">
        <f t="shared" si="17"/>
        <v>9.5102879314177429</v>
      </c>
    </row>
    <row r="69" spans="2:35" x14ac:dyDescent="0.2">
      <c r="B69" t="s">
        <v>113</v>
      </c>
      <c r="C69" s="6">
        <v>623894.19861283677</v>
      </c>
      <c r="D69" s="6">
        <v>428073.98835801199</v>
      </c>
      <c r="E69" s="6">
        <v>109756.90732050499</v>
      </c>
      <c r="F69" s="6">
        <v>27536379.505392455</v>
      </c>
      <c r="G69" s="6">
        <f t="shared" si="25"/>
        <v>4413.629677374257</v>
      </c>
      <c r="H69" s="6">
        <v>45252083.013074271</v>
      </c>
      <c r="I69" s="6">
        <f t="shared" si="26"/>
        <v>1.1658125757762428</v>
      </c>
      <c r="J69" s="9">
        <v>38.039012700756231</v>
      </c>
      <c r="K69" s="6">
        <v>4591.8363479737027</v>
      </c>
      <c r="L69">
        <f t="shared" si="27"/>
        <v>104.03764437947733</v>
      </c>
      <c r="M69" s="6">
        <v>10657.849</v>
      </c>
      <c r="N69" s="6">
        <f t="shared" si="18"/>
        <v>1.1511390926869418</v>
      </c>
      <c r="O69" s="6">
        <v>36.847999999999999</v>
      </c>
      <c r="P69" s="8">
        <f t="shared" si="28"/>
        <v>89.851036695838332</v>
      </c>
      <c r="S69" s="6">
        <f t="shared" si="29"/>
        <v>1281.3632995797698</v>
      </c>
      <c r="T69" s="6">
        <f t="shared" si="30"/>
        <v>1145.2604931996775</v>
      </c>
      <c r="U69" s="6">
        <f t="shared" si="31"/>
        <v>1319.0317745649379</v>
      </c>
      <c r="V69" s="6">
        <f t="shared" si="24"/>
        <v>-11.968340105516555</v>
      </c>
      <c r="W69" s="6">
        <f t="shared" ref="W69:W89" si="37">(LN(G69)-LN(G68))*100</f>
        <v>3.472018775301855</v>
      </c>
      <c r="X69" s="6">
        <f t="shared" si="32"/>
        <v>464.475279883506</v>
      </c>
      <c r="Y69" s="6">
        <f t="shared" si="33"/>
        <v>9.5097531751890578</v>
      </c>
      <c r="AB69">
        <f t="shared" si="19"/>
        <v>66</v>
      </c>
      <c r="AC69" s="6">
        <f t="shared" si="34"/>
        <v>7.9615717744297854</v>
      </c>
      <c r="AD69" s="6">
        <f t="shared" si="35"/>
        <v>35.957164464207381</v>
      </c>
      <c r="AE69" s="6">
        <f t="shared" si="36"/>
        <v>10.101311544171722</v>
      </c>
      <c r="AF69" s="6">
        <f t="shared" ref="AF69:AF89" si="38">V69-$V$91</f>
        <v>-26.524371786701398</v>
      </c>
      <c r="AG69" s="6">
        <f t="shared" ref="AG69:AG89" si="39">W69</f>
        <v>3.472018775301855</v>
      </c>
      <c r="AH69" s="6">
        <f t="shared" ref="AH69:AH89" si="40">X69-X68</f>
        <v>-7.1197385353002574E-2</v>
      </c>
      <c r="AI69" s="6">
        <f t="shared" ref="AI69:AI89" si="41">Y69</f>
        <v>9.5097531751890578</v>
      </c>
    </row>
    <row r="70" spans="2:35" x14ac:dyDescent="0.2">
      <c r="B70" t="s">
        <v>114</v>
      </c>
      <c r="C70" s="6">
        <v>654449.99823231436</v>
      </c>
      <c r="D70" s="6">
        <v>451881.91337638203</v>
      </c>
      <c r="E70" s="6">
        <v>127553.145954145</v>
      </c>
      <c r="F70" s="6">
        <v>32277527.046046086</v>
      </c>
      <c r="G70" s="6">
        <f t="shared" si="25"/>
        <v>4932.0081187605601</v>
      </c>
      <c r="H70" s="6">
        <v>45282172.003159784</v>
      </c>
      <c r="I70" s="6">
        <f t="shared" si="26"/>
        <v>1.1665877472313106</v>
      </c>
      <c r="J70" s="9">
        <v>37.333209977982548</v>
      </c>
      <c r="K70" s="6">
        <v>5053.6842907687906</v>
      </c>
      <c r="L70">
        <f t="shared" si="27"/>
        <v>102.46707160812234</v>
      </c>
      <c r="M70" s="6">
        <v>11523.648999999999</v>
      </c>
      <c r="N70" s="6">
        <f t="shared" ref="N70:N89" si="42">M70/$M$3</f>
        <v>1.244652917704387</v>
      </c>
      <c r="O70" s="6">
        <v>39.173900000000003</v>
      </c>
      <c r="P70" s="8">
        <f t="shared" si="28"/>
        <v>95.522566392181446</v>
      </c>
      <c r="S70" s="6">
        <f t="shared" si="29"/>
        <v>1286.7093138780717</v>
      </c>
      <c r="T70" s="6">
        <f t="shared" si="30"/>
        <v>1160.2205355434694</v>
      </c>
      <c r="U70" s="6">
        <f t="shared" si="31"/>
        <v>1323.7467432209928</v>
      </c>
      <c r="V70" s="6">
        <f t="shared" si="24"/>
        <v>1.8966008665904823</v>
      </c>
      <c r="W70" s="6">
        <f t="shared" si="37"/>
        <v>11.104882441259178</v>
      </c>
      <c r="X70" s="6">
        <f t="shared" si="32"/>
        <v>462.95414943621063</v>
      </c>
      <c r="Y70" s="6">
        <f t="shared" si="33"/>
        <v>9.3333024944956371</v>
      </c>
      <c r="AB70">
        <f t="shared" ref="AB70:AB89" si="43">AB69+1</f>
        <v>67</v>
      </c>
      <c r="AC70" s="6">
        <f t="shared" si="34"/>
        <v>5.3460142983019523</v>
      </c>
      <c r="AD70" s="6">
        <f t="shared" si="35"/>
        <v>14.960042343791883</v>
      </c>
      <c r="AE70" s="6">
        <f t="shared" si="36"/>
        <v>4.7149686560549071</v>
      </c>
      <c r="AF70" s="6">
        <f t="shared" si="38"/>
        <v>-12.65943081459436</v>
      </c>
      <c r="AG70" s="6">
        <f t="shared" si="39"/>
        <v>11.104882441259178</v>
      </c>
      <c r="AH70" s="6">
        <f t="shared" si="40"/>
        <v>-1.5211304472953771</v>
      </c>
      <c r="AI70" s="6">
        <f t="shared" si="41"/>
        <v>9.3333024944956371</v>
      </c>
    </row>
    <row r="71" spans="2:35" x14ac:dyDescent="0.2">
      <c r="B71" t="s">
        <v>115</v>
      </c>
      <c r="C71" s="6">
        <v>677250.47982575209</v>
      </c>
      <c r="D71" s="6">
        <v>463331.54710196803</v>
      </c>
      <c r="E71" s="6">
        <v>137684.808605328</v>
      </c>
      <c r="F71" s="6">
        <v>36785109.793720186</v>
      </c>
      <c r="G71" s="6">
        <f t="shared" si="25"/>
        <v>5431.5369113041488</v>
      </c>
      <c r="H71" s="6">
        <v>45312281</v>
      </c>
      <c r="I71" s="6">
        <f t="shared" si="26"/>
        <v>1.1673634341129551</v>
      </c>
      <c r="J71" s="9">
        <v>38.039751378285615</v>
      </c>
      <c r="K71" s="6">
        <v>5616.9210748778178</v>
      </c>
      <c r="L71">
        <f t="shared" si="27"/>
        <v>103.4131069456206</v>
      </c>
      <c r="M71" s="6">
        <v>11981.986999999999</v>
      </c>
      <c r="N71" s="6">
        <f t="shared" si="42"/>
        <v>1.2941573523669485</v>
      </c>
      <c r="O71" s="6">
        <v>42.857799999999997</v>
      </c>
      <c r="P71" s="8">
        <f t="shared" si="28"/>
        <v>104.50547548043043</v>
      </c>
      <c r="S71" s="6">
        <f t="shared" si="29"/>
        <v>1289.1450430459197</v>
      </c>
      <c r="T71" s="6">
        <f t="shared" si="30"/>
        <v>1167.7974625432862</v>
      </c>
      <c r="U71" s="6">
        <f t="shared" si="31"/>
        <v>1327.1048737641891</v>
      </c>
      <c r="V71" s="6">
        <f t="shared" si="24"/>
        <v>14.718134039538979</v>
      </c>
      <c r="W71" s="6">
        <f t="shared" si="37"/>
        <v>9.6475903212841274</v>
      </c>
      <c r="X71" s="6">
        <f t="shared" si="32"/>
        <v>463.87317136698317</v>
      </c>
      <c r="Y71" s="6">
        <f t="shared" si="33"/>
        <v>9.5099378445714038</v>
      </c>
      <c r="AB71">
        <f t="shared" si="43"/>
        <v>68</v>
      </c>
      <c r="AC71" s="6">
        <f t="shared" si="34"/>
        <v>2.4357291678479669</v>
      </c>
      <c r="AD71" s="6">
        <f t="shared" si="35"/>
        <v>7.5769269998168056</v>
      </c>
      <c r="AE71" s="6">
        <f t="shared" si="36"/>
        <v>3.3581305431962392</v>
      </c>
      <c r="AF71" s="6">
        <f t="shared" si="38"/>
        <v>0.16210235835413656</v>
      </c>
      <c r="AG71" s="6">
        <f t="shared" si="39"/>
        <v>9.6475903212841274</v>
      </c>
      <c r="AH71" s="6">
        <f t="shared" si="40"/>
        <v>0.91902193077254424</v>
      </c>
      <c r="AI71" s="6">
        <f t="shared" si="41"/>
        <v>9.5099378445714038</v>
      </c>
    </row>
    <row r="72" spans="2:35" x14ac:dyDescent="0.2">
      <c r="B72" t="s">
        <v>116</v>
      </c>
      <c r="C72" s="6">
        <v>679149.09279086394</v>
      </c>
      <c r="D72" s="6">
        <v>467275.746312431</v>
      </c>
      <c r="E72" s="6">
        <v>136295.691912062</v>
      </c>
      <c r="F72" s="6">
        <v>46340281.475928783</v>
      </c>
      <c r="G72" s="6">
        <f t="shared" si="25"/>
        <v>6823.2854858864894</v>
      </c>
      <c r="H72" s="6">
        <v>45516717.788389988</v>
      </c>
      <c r="I72" s="6">
        <f t="shared" si="26"/>
        <v>1.1726302630186543</v>
      </c>
      <c r="J72" s="9">
        <v>38.039750458536737</v>
      </c>
      <c r="K72" s="6">
        <v>6315.9131633841889</v>
      </c>
      <c r="L72">
        <f t="shared" si="27"/>
        <v>92.564105319178481</v>
      </c>
      <c r="M72" s="6">
        <v>11981.48</v>
      </c>
      <c r="N72" s="6">
        <f t="shared" si="42"/>
        <v>1.2941025920189655</v>
      </c>
      <c r="O72" s="6">
        <v>41.892200000000003</v>
      </c>
      <c r="P72" s="8">
        <f t="shared" si="28"/>
        <v>102.15093355051562</v>
      </c>
      <c r="S72" s="6">
        <f t="shared" si="29"/>
        <v>1289.5425511901331</v>
      </c>
      <c r="T72" s="6">
        <f t="shared" si="30"/>
        <v>1166.3332696099417</v>
      </c>
      <c r="U72" s="6">
        <f t="shared" si="31"/>
        <v>1326.9346645758226</v>
      </c>
      <c r="V72" s="6">
        <f t="shared" si="24"/>
        <v>11.984943635393918</v>
      </c>
      <c r="W72" s="6">
        <f t="shared" si="37"/>
        <v>22.811896399997345</v>
      </c>
      <c r="X72" s="6">
        <f t="shared" si="32"/>
        <v>452.79014349612578</v>
      </c>
      <c r="Y72" s="6">
        <f t="shared" si="33"/>
        <v>9.5099376146341843</v>
      </c>
      <c r="AB72">
        <f t="shared" si="43"/>
        <v>69</v>
      </c>
      <c r="AC72" s="6">
        <f t="shared" si="34"/>
        <v>0.39750814421336145</v>
      </c>
      <c r="AD72" s="6">
        <f t="shared" si="35"/>
        <v>-1.4641929333445205</v>
      </c>
      <c r="AE72" s="6">
        <f t="shared" si="36"/>
        <v>-0.1702091883664707</v>
      </c>
      <c r="AF72" s="6">
        <f t="shared" si="38"/>
        <v>-2.5710880457909244</v>
      </c>
      <c r="AG72" s="6">
        <f t="shared" si="39"/>
        <v>22.811896399997345</v>
      </c>
      <c r="AH72" s="6">
        <f t="shared" si="40"/>
        <v>-11.083027870857393</v>
      </c>
      <c r="AI72" s="6">
        <f t="shared" si="41"/>
        <v>9.5099376146341843</v>
      </c>
    </row>
    <row r="73" spans="2:35" x14ac:dyDescent="0.2">
      <c r="B73" t="s">
        <v>117</v>
      </c>
      <c r="C73" s="6">
        <v>693044.47480042151</v>
      </c>
      <c r="D73" s="6">
        <v>474599.81421199098</v>
      </c>
      <c r="E73" s="6">
        <v>134811.62687167799</v>
      </c>
      <c r="F73" s="6">
        <v>47462528.989099547</v>
      </c>
      <c r="G73" s="6">
        <f t="shared" si="25"/>
        <v>6848.4102701731372</v>
      </c>
      <c r="H73" s="6">
        <v>45722076.940420136</v>
      </c>
      <c r="I73" s="6">
        <f t="shared" si="26"/>
        <v>1.1779208544355912</v>
      </c>
      <c r="J73" s="9">
        <v>38.039749308850631</v>
      </c>
      <c r="K73" s="6">
        <v>7031.6478877517047</v>
      </c>
      <c r="L73">
        <f t="shared" si="27"/>
        <v>102.67562266788575</v>
      </c>
      <c r="M73" s="6">
        <v>12403.538</v>
      </c>
      <c r="N73" s="6">
        <f t="shared" si="42"/>
        <v>1.3396884755477401</v>
      </c>
      <c r="O73" s="6">
        <v>44.798699999999997</v>
      </c>
      <c r="P73" s="8">
        <f t="shared" si="28"/>
        <v>109.23821205020225</v>
      </c>
      <c r="S73" s="6">
        <f t="shared" si="29"/>
        <v>1290.6476334936576</v>
      </c>
      <c r="T73" s="6">
        <f t="shared" si="30"/>
        <v>1164.7882829913199</v>
      </c>
      <c r="U73" s="6">
        <f t="shared" si="31"/>
        <v>1328.5098556729113</v>
      </c>
      <c r="V73" s="6">
        <f t="shared" si="24"/>
        <v>21.704695272769552</v>
      </c>
      <c r="W73" s="6">
        <f t="shared" si="37"/>
        <v>0.36754493398643007</v>
      </c>
      <c r="X73" s="6">
        <f t="shared" si="32"/>
        <v>463.1574724278928</v>
      </c>
      <c r="Y73" s="6">
        <f t="shared" si="33"/>
        <v>9.5099373272126577</v>
      </c>
      <c r="AB73">
        <f t="shared" si="43"/>
        <v>70</v>
      </c>
      <c r="AC73" s="6">
        <f t="shared" si="34"/>
        <v>1.1050823035245685</v>
      </c>
      <c r="AD73" s="6">
        <f t="shared" si="35"/>
        <v>-1.544986618621806</v>
      </c>
      <c r="AE73" s="6">
        <f t="shared" si="36"/>
        <v>1.5751910970886911</v>
      </c>
      <c r="AF73" s="6">
        <f t="shared" si="38"/>
        <v>7.1486635915847092</v>
      </c>
      <c r="AG73" s="6">
        <f t="shared" si="39"/>
        <v>0.36754493398643007</v>
      </c>
      <c r="AH73" s="6">
        <f t="shared" si="40"/>
        <v>10.36732893176702</v>
      </c>
      <c r="AI73" s="6">
        <f t="shared" si="41"/>
        <v>9.5099373272126577</v>
      </c>
    </row>
    <row r="74" spans="2:35" x14ac:dyDescent="0.2">
      <c r="B74" t="s">
        <v>118</v>
      </c>
      <c r="C74" s="6">
        <v>709795.68871874886</v>
      </c>
      <c r="D74" s="6">
        <v>495456.87408977299</v>
      </c>
      <c r="E74" s="6">
        <v>146926.84600778701</v>
      </c>
      <c r="F74" s="6">
        <v>54288413.782466695</v>
      </c>
      <c r="G74" s="6">
        <f t="shared" si="25"/>
        <v>7648.4564002442212</v>
      </c>
      <c r="H74" s="6">
        <v>45928362.61754638</v>
      </c>
      <c r="I74" s="6">
        <f t="shared" si="26"/>
        <v>1.1832353155738069</v>
      </c>
      <c r="J74" s="9">
        <v>38.039749308850631</v>
      </c>
      <c r="K74" s="6">
        <v>7809.5843552566084</v>
      </c>
      <c r="L74">
        <f t="shared" si="27"/>
        <v>102.10667285764016</v>
      </c>
      <c r="M74" s="6">
        <v>12643.582</v>
      </c>
      <c r="N74" s="6">
        <f t="shared" si="42"/>
        <v>1.3656152861419737</v>
      </c>
      <c r="O74" s="6">
        <v>43.021500000000003</v>
      </c>
      <c r="P74" s="8">
        <f t="shared" si="28"/>
        <v>104.90464544100114</v>
      </c>
      <c r="S74" s="6">
        <f t="shared" si="29"/>
        <v>1294.4983114348713</v>
      </c>
      <c r="T74" s="6">
        <f t="shared" si="30"/>
        <v>1172.943761620937</v>
      </c>
      <c r="U74" s="6">
        <f t="shared" si="31"/>
        <v>1330.4479965759001</v>
      </c>
      <c r="V74" s="6">
        <f t="shared" si="24"/>
        <v>19.123421957950097</v>
      </c>
      <c r="W74" s="6">
        <f t="shared" si="37"/>
        <v>11.048730173969012</v>
      </c>
      <c r="X74" s="6">
        <f t="shared" si="32"/>
        <v>462.60180791333403</v>
      </c>
      <c r="Y74" s="6">
        <f t="shared" si="33"/>
        <v>9.5099373272126577</v>
      </c>
      <c r="AB74">
        <f t="shared" si="43"/>
        <v>71</v>
      </c>
      <c r="AC74" s="6">
        <f t="shared" si="34"/>
        <v>3.8506779412136893</v>
      </c>
      <c r="AD74" s="6">
        <f t="shared" si="35"/>
        <v>8.1554786296171642</v>
      </c>
      <c r="AE74" s="6">
        <f t="shared" si="36"/>
        <v>1.9381409029888346</v>
      </c>
      <c r="AF74" s="6">
        <f t="shared" si="38"/>
        <v>4.5673902767652539</v>
      </c>
      <c r="AG74" s="6">
        <f t="shared" si="39"/>
        <v>11.048730173969012</v>
      </c>
      <c r="AH74" s="6">
        <f t="shared" si="40"/>
        <v>-0.55566451455877086</v>
      </c>
      <c r="AI74" s="6">
        <f t="shared" si="41"/>
        <v>9.5099373272126577</v>
      </c>
    </row>
    <row r="75" spans="2:35" x14ac:dyDescent="0.2">
      <c r="B75" t="s">
        <v>119</v>
      </c>
      <c r="C75" s="6">
        <v>727217.19021071692</v>
      </c>
      <c r="D75" s="6">
        <v>508637.60838565702</v>
      </c>
      <c r="E75" s="6">
        <v>152719.7178329</v>
      </c>
      <c r="F75" s="6">
        <v>60345325.426595442</v>
      </c>
      <c r="G75" s="6">
        <f t="shared" si="25"/>
        <v>8298.1159190021208</v>
      </c>
      <c r="H75" s="6">
        <v>46135579</v>
      </c>
      <c r="I75" s="6">
        <f t="shared" si="26"/>
        <v>1.1885737541270442</v>
      </c>
      <c r="J75" s="9">
        <v>41.227593886949343</v>
      </c>
      <c r="K75" s="6">
        <v>8741.8848153141225</v>
      </c>
      <c r="L75">
        <f t="shared" si="27"/>
        <v>105.34782715309872</v>
      </c>
      <c r="M75" s="6">
        <v>12583.977000000001</v>
      </c>
      <c r="N75" s="6">
        <f t="shared" si="42"/>
        <v>1.3591774349752324</v>
      </c>
      <c r="O75" s="6">
        <v>43.613900000000001</v>
      </c>
      <c r="P75" s="8">
        <f t="shared" si="28"/>
        <v>106.34916764406816</v>
      </c>
      <c r="S75" s="6">
        <f t="shared" si="29"/>
        <v>1296.6737011781915</v>
      </c>
      <c r="T75" s="6">
        <f t="shared" si="30"/>
        <v>1176.36055484141</v>
      </c>
      <c r="U75" s="6">
        <f t="shared" si="31"/>
        <v>1332.4226398096475</v>
      </c>
      <c r="V75" s="6">
        <f t="shared" si="24"/>
        <v>19.568315622446377</v>
      </c>
      <c r="W75" s="6">
        <f t="shared" si="37"/>
        <v>8.1524641591363078</v>
      </c>
      <c r="X75" s="6">
        <f t="shared" si="32"/>
        <v>465.72675150075867</v>
      </c>
      <c r="Y75" s="6">
        <f t="shared" si="33"/>
        <v>10.306898471737336</v>
      </c>
      <c r="AB75">
        <f t="shared" si="43"/>
        <v>72</v>
      </c>
      <c r="AC75" s="6">
        <f t="shared" si="34"/>
        <v>2.1753897433202383</v>
      </c>
      <c r="AD75" s="6">
        <f t="shared" si="35"/>
        <v>3.4167932204729823</v>
      </c>
      <c r="AE75" s="6">
        <f t="shared" si="36"/>
        <v>1.9746432337474289</v>
      </c>
      <c r="AF75" s="6">
        <f t="shared" si="38"/>
        <v>5.0122839412615345</v>
      </c>
      <c r="AG75" s="6">
        <f t="shared" si="39"/>
        <v>8.1524641591363078</v>
      </c>
      <c r="AH75" s="6">
        <f t="shared" si="40"/>
        <v>3.1249435874246387</v>
      </c>
      <c r="AI75" s="6">
        <f t="shared" si="41"/>
        <v>10.306898471737336</v>
      </c>
    </row>
    <row r="76" spans="2:35" x14ac:dyDescent="0.2">
      <c r="B76" t="s">
        <v>120</v>
      </c>
      <c r="C76" s="6">
        <v>741248.85874275723</v>
      </c>
      <c r="D76" s="6">
        <v>523172.75095227698</v>
      </c>
      <c r="E76" s="6">
        <v>160240.06914024299</v>
      </c>
      <c r="F76" s="6">
        <v>78676963.283240914</v>
      </c>
      <c r="G76" s="6">
        <f t="shared" si="25"/>
        <v>10614.109196294216</v>
      </c>
      <c r="H76" s="6">
        <v>46155287.118082762</v>
      </c>
      <c r="I76" s="6">
        <f t="shared" si="26"/>
        <v>1.189081487039563</v>
      </c>
      <c r="J76" s="9">
        <v>48.191283830879776</v>
      </c>
      <c r="K76" s="6">
        <v>10301.178846196484</v>
      </c>
      <c r="L76">
        <f t="shared" si="27"/>
        <v>97.051751170913263</v>
      </c>
      <c r="M76" s="6">
        <v>12993.264999999999</v>
      </c>
      <c r="N76" s="6">
        <f t="shared" si="42"/>
        <v>1.403384048989716</v>
      </c>
      <c r="O76" s="6">
        <v>41.996600000000001</v>
      </c>
      <c r="P76" s="8">
        <f t="shared" si="28"/>
        <v>102.40550498535725</v>
      </c>
      <c r="S76" s="6">
        <f t="shared" si="29"/>
        <v>1299.4485846799803</v>
      </c>
      <c r="T76" s="6">
        <f t="shared" si="30"/>
        <v>1181.1247252363105</v>
      </c>
      <c r="U76" s="6">
        <f t="shared" si="31"/>
        <v>1334.2910540198309</v>
      </c>
      <c r="V76" s="6">
        <f t="shared" si="24"/>
        <v>18.947563313491404</v>
      </c>
      <c r="W76" s="6">
        <f t="shared" si="37"/>
        <v>24.615568097802942</v>
      </c>
      <c r="X76" s="6">
        <f t="shared" si="32"/>
        <v>457.52443534595778</v>
      </c>
      <c r="Y76" s="6">
        <f t="shared" si="33"/>
        <v>12.047820957719944</v>
      </c>
      <c r="AB76">
        <f t="shared" si="43"/>
        <v>73</v>
      </c>
      <c r="AC76" s="6">
        <f t="shared" si="34"/>
        <v>2.7748835017887359</v>
      </c>
      <c r="AD76" s="6">
        <f t="shared" si="35"/>
        <v>4.764170394900475</v>
      </c>
      <c r="AE76" s="6">
        <f t="shared" si="36"/>
        <v>1.8684142101833459</v>
      </c>
      <c r="AF76" s="6">
        <f t="shared" si="38"/>
        <v>4.3915316323065614</v>
      </c>
      <c r="AG76" s="6">
        <f t="shared" si="39"/>
        <v>24.615568097802942</v>
      </c>
      <c r="AH76" s="6">
        <f t="shared" si="40"/>
        <v>-8.2023161548008829</v>
      </c>
      <c r="AI76" s="6">
        <f t="shared" si="41"/>
        <v>12.047820957719944</v>
      </c>
    </row>
    <row r="77" spans="2:35" x14ac:dyDescent="0.2">
      <c r="B77" t="s">
        <v>121</v>
      </c>
      <c r="C77" s="6">
        <v>735357.63471055031</v>
      </c>
      <c r="D77" s="6">
        <v>526221.04599345103</v>
      </c>
      <c r="E77" s="6">
        <v>152863.63971375101</v>
      </c>
      <c r="F77" s="6">
        <v>87863363.941944733</v>
      </c>
      <c r="G77" s="6">
        <f t="shared" si="25"/>
        <v>11948.385356266723</v>
      </c>
      <c r="H77" s="6">
        <v>46175003.655045852</v>
      </c>
      <c r="I77" s="6">
        <f t="shared" si="26"/>
        <v>1.1895894368445628</v>
      </c>
      <c r="J77" s="9">
        <v>63.607340315379716</v>
      </c>
      <c r="K77" s="6">
        <v>12323.461185164788</v>
      </c>
      <c r="L77">
        <f t="shared" si="27"/>
        <v>103.13913401446617</v>
      </c>
      <c r="M77" s="6">
        <v>12922.101000000001</v>
      </c>
      <c r="N77" s="6">
        <f t="shared" si="42"/>
        <v>1.3956977266941035</v>
      </c>
      <c r="O77" s="6">
        <v>43.147300000000001</v>
      </c>
      <c r="P77" s="8">
        <f t="shared" si="28"/>
        <v>105.21139914313791</v>
      </c>
      <c r="S77" s="6">
        <f t="shared" si="29"/>
        <v>1299.9868406436779</v>
      </c>
      <c r="T77" s="6">
        <f t="shared" si="30"/>
        <v>1176.3693322741356</v>
      </c>
      <c r="U77" s="6">
        <f t="shared" si="31"/>
        <v>1333.4504001153405</v>
      </c>
      <c r="V77" s="6">
        <f t="shared" si="24"/>
        <v>21.058768151931748</v>
      </c>
      <c r="W77" s="6">
        <f t="shared" si="37"/>
        <v>11.841198031593159</v>
      </c>
      <c r="X77" s="6">
        <f t="shared" si="32"/>
        <v>463.60788923733526</v>
      </c>
      <c r="Y77" s="6">
        <f t="shared" si="33"/>
        <v>15.901835078844929</v>
      </c>
      <c r="AB77">
        <f t="shared" si="43"/>
        <v>74</v>
      </c>
      <c r="AC77" s="6">
        <f t="shared" si="34"/>
        <v>0.53825596369756568</v>
      </c>
      <c r="AD77" s="6">
        <f t="shared" si="35"/>
        <v>-4.7553929621749376</v>
      </c>
      <c r="AE77" s="6">
        <f t="shared" si="36"/>
        <v>-0.84065390449040933</v>
      </c>
      <c r="AF77" s="6">
        <f t="shared" si="38"/>
        <v>6.5027364707469051</v>
      </c>
      <c r="AG77" s="6">
        <f t="shared" si="39"/>
        <v>11.841198031593159</v>
      </c>
      <c r="AH77" s="6">
        <f t="shared" si="40"/>
        <v>6.0834538913774736</v>
      </c>
      <c r="AI77" s="6">
        <f t="shared" si="41"/>
        <v>15.901835078844929</v>
      </c>
    </row>
    <row r="78" spans="2:35" x14ac:dyDescent="0.2">
      <c r="B78" t="s">
        <v>122</v>
      </c>
      <c r="C78" s="6">
        <v>721542.85124030802</v>
      </c>
      <c r="D78" s="6">
        <v>522553.812795354</v>
      </c>
      <c r="E78" s="6">
        <v>147985.82775981401</v>
      </c>
      <c r="F78" s="6">
        <v>104354529.22768565</v>
      </c>
      <c r="G78" s="6">
        <f t="shared" si="25"/>
        <v>14462.693247989873</v>
      </c>
      <c r="H78" s="6">
        <v>46194728.614485636</v>
      </c>
      <c r="I78" s="6">
        <f t="shared" si="26"/>
        <v>1.1900976036346955</v>
      </c>
      <c r="J78" s="9">
        <v>74.802224623644747</v>
      </c>
      <c r="K78" s="6">
        <v>14711.023260707387</v>
      </c>
      <c r="L78">
        <f t="shared" si="27"/>
        <v>101.71703851045881</v>
      </c>
      <c r="M78" s="6">
        <v>13061</v>
      </c>
      <c r="N78" s="6">
        <f t="shared" si="42"/>
        <v>1.4107000098785549</v>
      </c>
      <c r="O78" s="6">
        <v>43.491399999999999</v>
      </c>
      <c r="P78" s="8">
        <f t="shared" si="28"/>
        <v>106.05046074015914</v>
      </c>
      <c r="S78" s="6">
        <f t="shared" si="29"/>
        <v>1299.2447924892706</v>
      </c>
      <c r="T78" s="6">
        <f t="shared" si="30"/>
        <v>1173.0836466160408</v>
      </c>
      <c r="U78" s="6">
        <f t="shared" si="31"/>
        <v>1331.5111723689813</v>
      </c>
      <c r="V78" s="6">
        <f t="shared" si="24"/>
        <v>22.879555804894721</v>
      </c>
      <c r="W78" s="6">
        <f t="shared" si="37"/>
        <v>19.097630181696346</v>
      </c>
      <c r="X78" s="6">
        <f t="shared" si="32"/>
        <v>462.21948259977586</v>
      </c>
      <c r="Y78" s="6">
        <f t="shared" si="33"/>
        <v>18.700556155911187</v>
      </c>
      <c r="AB78">
        <f t="shared" si="43"/>
        <v>75</v>
      </c>
      <c r="AC78" s="6">
        <f t="shared" si="34"/>
        <v>-0.74204815440725724</v>
      </c>
      <c r="AD78" s="6">
        <f t="shared" si="35"/>
        <v>-3.2856856580947351</v>
      </c>
      <c r="AE78" s="6">
        <f t="shared" si="36"/>
        <v>-1.9392277463591654</v>
      </c>
      <c r="AF78" s="6">
        <f t="shared" si="38"/>
        <v>8.3235241237098787</v>
      </c>
      <c r="AG78" s="6">
        <f t="shared" si="39"/>
        <v>19.097630181696346</v>
      </c>
      <c r="AH78" s="6">
        <f t="shared" si="40"/>
        <v>-1.3884066375593989</v>
      </c>
      <c r="AI78" s="6">
        <f t="shared" si="41"/>
        <v>18.700556155911187</v>
      </c>
    </row>
    <row r="79" spans="2:35" x14ac:dyDescent="0.2">
      <c r="B79" t="s">
        <v>123</v>
      </c>
      <c r="C79" s="6">
        <v>728411.03637298418</v>
      </c>
      <c r="D79" s="6">
        <v>526440.52327337302</v>
      </c>
      <c r="E79" s="6">
        <v>151821.844605878</v>
      </c>
      <c r="F79" s="6">
        <v>120719556.7726799</v>
      </c>
      <c r="G79" s="6">
        <f t="shared" si="25"/>
        <v>16572.999411676297</v>
      </c>
      <c r="H79" s="6">
        <v>46214462</v>
      </c>
      <c r="I79" s="6">
        <f t="shared" si="26"/>
        <v>1.1906059875026522</v>
      </c>
      <c r="J79" s="9">
        <v>75.088036182701359</v>
      </c>
      <c r="K79" s="6">
        <v>17410.060565010444</v>
      </c>
      <c r="L79">
        <f t="shared" si="27"/>
        <v>105.05075232636771</v>
      </c>
      <c r="M79" s="6">
        <v>13191</v>
      </c>
      <c r="N79" s="6">
        <f t="shared" si="42"/>
        <v>1.4247411247460391</v>
      </c>
      <c r="O79" s="6">
        <v>44.2149</v>
      </c>
      <c r="P79" s="8">
        <f t="shared" si="28"/>
        <v>107.81466029100149</v>
      </c>
      <c r="S79" s="6">
        <f t="shared" si="29"/>
        <v>1299.9431227228874</v>
      </c>
      <c r="T79" s="6">
        <f t="shared" si="30"/>
        <v>1175.6000626746318</v>
      </c>
      <c r="U79" s="6">
        <f t="shared" si="31"/>
        <v>1332.4158367545072</v>
      </c>
      <c r="V79" s="6">
        <f t="shared" si="24"/>
        <v>25.477117818718035</v>
      </c>
      <c r="W79" s="6">
        <f t="shared" si="37"/>
        <v>13.620237520747125</v>
      </c>
      <c r="X79" s="6">
        <f t="shared" si="32"/>
        <v>465.44435888681039</v>
      </c>
      <c r="Y79" s="6">
        <f t="shared" si="33"/>
        <v>18.77200904567534</v>
      </c>
      <c r="AB79">
        <f t="shared" si="43"/>
        <v>76</v>
      </c>
      <c r="AC79" s="6">
        <f t="shared" si="34"/>
        <v>0.69833023361684354</v>
      </c>
      <c r="AD79" s="6">
        <f t="shared" si="35"/>
        <v>2.5164160585909485</v>
      </c>
      <c r="AE79" s="6">
        <f t="shared" si="36"/>
        <v>0.90466438552584805</v>
      </c>
      <c r="AF79" s="6">
        <f t="shared" si="38"/>
        <v>10.921086137533193</v>
      </c>
      <c r="AG79" s="6">
        <f t="shared" si="39"/>
        <v>13.620237520747125</v>
      </c>
      <c r="AH79" s="6">
        <f t="shared" si="40"/>
        <v>3.2248762870345331</v>
      </c>
      <c r="AI79" s="6">
        <f t="shared" si="41"/>
        <v>18.77200904567534</v>
      </c>
    </row>
    <row r="80" spans="2:35" x14ac:dyDescent="0.2">
      <c r="B80" t="s">
        <v>124</v>
      </c>
      <c r="C80" s="6">
        <v>710604.35007449426</v>
      </c>
      <c r="D80" s="6">
        <v>535444.51004918898</v>
      </c>
      <c r="E80" s="6">
        <v>158284.473203581</v>
      </c>
      <c r="F80" s="6">
        <v>159215855.41502434</v>
      </c>
      <c r="G80" s="6">
        <f t="shared" si="25"/>
        <v>22405.696700046006</v>
      </c>
      <c r="H80" s="6">
        <v>46236266.81329155</v>
      </c>
      <c r="I80" s="6">
        <f t="shared" si="26"/>
        <v>1.1911677367936273</v>
      </c>
      <c r="J80" s="9">
        <v>90.790643544303848</v>
      </c>
      <c r="K80" s="6">
        <v>21471.47154838009</v>
      </c>
      <c r="L80">
        <f t="shared" si="27"/>
        <v>95.83041239836119</v>
      </c>
      <c r="M80" s="6">
        <v>13108</v>
      </c>
      <c r="N80" s="6">
        <f t="shared" si="42"/>
        <v>1.41577641294603</v>
      </c>
      <c r="O80" s="6">
        <v>44.827599999999997</v>
      </c>
      <c r="P80" s="8">
        <f t="shared" si="28"/>
        <v>109.30868249528774</v>
      </c>
      <c r="S80" s="6">
        <f t="shared" si="29"/>
        <v>1301.591842341518</v>
      </c>
      <c r="T80" s="6">
        <f t="shared" si="30"/>
        <v>1179.7215039036746</v>
      </c>
      <c r="U80" s="6">
        <f t="shared" si="31"/>
        <v>1329.8936966847582</v>
      </c>
      <c r="V80" s="6">
        <f t="shared" si="24"/>
        <v>26.174960827189604</v>
      </c>
      <c r="W80" s="6">
        <f t="shared" si="37"/>
        <v>30.154041385177521</v>
      </c>
      <c r="X80" s="6">
        <f t="shared" si="32"/>
        <v>456.25800917833431</v>
      </c>
      <c r="Y80" s="6">
        <f t="shared" si="33"/>
        <v>22.697660886075962</v>
      </c>
      <c r="AB80">
        <f t="shared" si="43"/>
        <v>77</v>
      </c>
      <c r="AC80" s="6">
        <f t="shared" si="34"/>
        <v>1.6487196186305937</v>
      </c>
      <c r="AD80" s="6">
        <f t="shared" si="35"/>
        <v>4.1214412290428299</v>
      </c>
      <c r="AE80" s="6">
        <f t="shared" si="36"/>
        <v>-2.5221400697489571</v>
      </c>
      <c r="AF80" s="6">
        <f t="shared" si="38"/>
        <v>11.618929146004762</v>
      </c>
      <c r="AG80" s="6">
        <f t="shared" si="39"/>
        <v>30.154041385177521</v>
      </c>
      <c r="AH80" s="6">
        <f t="shared" si="40"/>
        <v>-9.1863497084760866</v>
      </c>
      <c r="AI80" s="6">
        <f t="shared" si="41"/>
        <v>22.697660886075962</v>
      </c>
    </row>
    <row r="81" spans="2:35" x14ac:dyDescent="0.2">
      <c r="B81" t="s">
        <v>125</v>
      </c>
      <c r="C81" s="6">
        <v>724360.15045882703</v>
      </c>
      <c r="D81" s="6">
        <v>526200.07392470096</v>
      </c>
      <c r="E81" s="6">
        <v>154064.03686528801</v>
      </c>
      <c r="F81" s="6">
        <v>206516399.84174532</v>
      </c>
      <c r="G81" s="6">
        <f t="shared" si="25"/>
        <v>28510.182360381485</v>
      </c>
      <c r="H81" s="6">
        <v>46258081.914485663</v>
      </c>
      <c r="I81" s="6">
        <f t="shared" si="26"/>
        <v>1.1917297511280081</v>
      </c>
      <c r="J81" s="9">
        <v>108.16238823521154</v>
      </c>
      <c r="K81" s="6">
        <v>27912.254711112586</v>
      </c>
      <c r="L81">
        <f t="shared" si="27"/>
        <v>97.90275754216222</v>
      </c>
      <c r="M81" s="6">
        <v>13396</v>
      </c>
      <c r="N81" s="6">
        <f t="shared" si="42"/>
        <v>1.446882882806303</v>
      </c>
      <c r="O81" s="6">
        <v>45.073900000000002</v>
      </c>
      <c r="P81" s="8">
        <f t="shared" si="28"/>
        <v>109.90926625392281</v>
      </c>
      <c r="S81" s="6">
        <f t="shared" si="29"/>
        <v>1299.8030963989947</v>
      </c>
      <c r="T81" s="6">
        <f t="shared" si="30"/>
        <v>1176.971779467937</v>
      </c>
      <c r="U81" s="6">
        <f t="shared" si="31"/>
        <v>1331.7638168981823</v>
      </c>
      <c r="V81" s="6">
        <f t="shared" si="24"/>
        <v>28.849066954073869</v>
      </c>
      <c r="W81" s="6">
        <f t="shared" si="37"/>
        <v>24.094605577540484</v>
      </c>
      <c r="X81" s="6">
        <f t="shared" si="32"/>
        <v>458.39747160668753</v>
      </c>
      <c r="Y81" s="6">
        <f t="shared" si="33"/>
        <v>27.040597058802884</v>
      </c>
      <c r="AB81">
        <f t="shared" si="43"/>
        <v>78</v>
      </c>
      <c r="AC81" s="6">
        <f t="shared" si="34"/>
        <v>-1.7887459425232919</v>
      </c>
      <c r="AD81" s="6">
        <f t="shared" si="35"/>
        <v>-2.7497244357375621</v>
      </c>
      <c r="AE81" s="6">
        <f t="shared" si="36"/>
        <v>1.8701202134241157</v>
      </c>
      <c r="AF81" s="6">
        <f t="shared" si="38"/>
        <v>14.293035272889027</v>
      </c>
      <c r="AG81" s="6">
        <f t="shared" si="39"/>
        <v>24.094605577540484</v>
      </c>
      <c r="AH81" s="6">
        <f t="shared" si="40"/>
        <v>2.1394624283532266</v>
      </c>
      <c r="AI81" s="6">
        <f t="shared" si="41"/>
        <v>27.040597058802884</v>
      </c>
    </row>
    <row r="82" spans="2:35" x14ac:dyDescent="0.2">
      <c r="B82" t="s">
        <v>126</v>
      </c>
      <c r="C82" s="6">
        <v>707702.39593034761</v>
      </c>
      <c r="D82" s="6">
        <v>512719.66080285801</v>
      </c>
      <c r="E82" s="6">
        <v>137664.04908453699</v>
      </c>
      <c r="F82" s="6">
        <v>283181180.08567715</v>
      </c>
      <c r="G82" s="6">
        <f t="shared" si="25"/>
        <v>40014.161561994762</v>
      </c>
      <c r="H82" s="6">
        <v>46279907.308436386</v>
      </c>
      <c r="I82" s="6">
        <f t="shared" si="26"/>
        <v>1.1922920306308471</v>
      </c>
      <c r="J82" s="9">
        <v>131.23931426730692</v>
      </c>
      <c r="K82" s="6">
        <v>37342.971996887303</v>
      </c>
      <c r="L82">
        <f t="shared" si="27"/>
        <v>93.324389514025114</v>
      </c>
      <c r="M82" s="6">
        <v>13518</v>
      </c>
      <c r="N82" s="6">
        <f t="shared" si="42"/>
        <v>1.4600599290665572</v>
      </c>
      <c r="O82" s="6">
        <v>44.579900000000002</v>
      </c>
      <c r="P82" s="8">
        <f t="shared" si="28"/>
        <v>108.70468494346514</v>
      </c>
      <c r="S82" s="6">
        <f t="shared" si="29"/>
        <v>1297.160697383634</v>
      </c>
      <c r="T82" s="6">
        <f t="shared" si="30"/>
        <v>1165.6694038403061</v>
      </c>
      <c r="U82" s="6">
        <f t="shared" si="31"/>
        <v>1329.3901408797642</v>
      </c>
      <c r="V82" s="6">
        <f t="shared" si="24"/>
        <v>28.606465837242546</v>
      </c>
      <c r="W82" s="6">
        <f t="shared" si="37"/>
        <v>33.897213123710834</v>
      </c>
      <c r="X82" s="6">
        <f t="shared" si="32"/>
        <v>453.60814832740289</v>
      </c>
      <c r="Y82" s="6">
        <f t="shared" si="33"/>
        <v>32.809828566826731</v>
      </c>
      <c r="AB82">
        <f t="shared" si="43"/>
        <v>79</v>
      </c>
      <c r="AC82" s="6">
        <f t="shared" si="34"/>
        <v>-2.6423990153607519</v>
      </c>
      <c r="AD82" s="6">
        <f t="shared" si="35"/>
        <v>-11.302375627630909</v>
      </c>
      <c r="AE82" s="6">
        <f t="shared" si="36"/>
        <v>-2.3736760184181094</v>
      </c>
      <c r="AF82" s="6">
        <f t="shared" si="38"/>
        <v>14.050434156057703</v>
      </c>
      <c r="AG82" s="6">
        <f t="shared" si="39"/>
        <v>33.897213123710834</v>
      </c>
      <c r="AH82" s="6">
        <f t="shared" si="40"/>
        <v>-4.7893232792846447</v>
      </c>
      <c r="AI82" s="6">
        <f t="shared" si="41"/>
        <v>32.809828566826731</v>
      </c>
    </row>
    <row r="83" spans="2:35" x14ac:dyDescent="0.2">
      <c r="B83" t="s">
        <v>127</v>
      </c>
      <c r="C83" s="6">
        <v>696359.28899467527</v>
      </c>
      <c r="D83" s="6">
        <v>498294.78585107601</v>
      </c>
      <c r="E83" s="6">
        <v>119750.027518224</v>
      </c>
      <c r="F83" s="6">
        <v>423472034.40718853</v>
      </c>
      <c r="G83" s="6">
        <f t="shared" si="25"/>
        <v>60812.290594780396</v>
      </c>
      <c r="H83" s="6">
        <v>46301743</v>
      </c>
      <c r="I83" s="6">
        <f t="shared" si="26"/>
        <v>1.1928545754272553</v>
      </c>
      <c r="J83" s="9">
        <v>99.607423136473599</v>
      </c>
      <c r="K83" s="6">
        <v>55935.90237722703</v>
      </c>
      <c r="L83">
        <f t="shared" si="27"/>
        <v>91.981245616865621</v>
      </c>
      <c r="M83" s="6">
        <v>13114</v>
      </c>
      <c r="N83" s="6">
        <f t="shared" si="42"/>
        <v>1.4164244644014523</v>
      </c>
      <c r="O83" s="6">
        <v>44.222900000000003</v>
      </c>
      <c r="P83" s="8">
        <f t="shared" si="28"/>
        <v>107.83416768064453</v>
      </c>
      <c r="S83" s="6">
        <f t="shared" si="29"/>
        <v>1294.2597882871023</v>
      </c>
      <c r="T83" s="6">
        <f t="shared" si="30"/>
        <v>1151.6812507601712</v>
      </c>
      <c r="U83" s="6">
        <f t="shared" si="31"/>
        <v>1327.7271788472176</v>
      </c>
      <c r="V83" s="6">
        <f t="shared" si="24"/>
        <v>24.721085251153845</v>
      </c>
      <c r="W83" s="6">
        <f t="shared" si="37"/>
        <v>41.855848597667666</v>
      </c>
      <c r="X83" s="6">
        <f t="shared" si="32"/>
        <v>452.15847042778086</v>
      </c>
      <c r="Y83" s="6">
        <f t="shared" si="33"/>
        <v>24.9018557841184</v>
      </c>
      <c r="AB83">
        <f t="shared" si="43"/>
        <v>80</v>
      </c>
      <c r="AC83" s="6">
        <f t="shared" si="34"/>
        <v>-2.9009090965316773</v>
      </c>
      <c r="AD83" s="6">
        <f t="shared" si="35"/>
        <v>-13.988153080134907</v>
      </c>
      <c r="AE83" s="6">
        <f t="shared" si="36"/>
        <v>-1.6629620325466021</v>
      </c>
      <c r="AF83" s="6">
        <f t="shared" si="38"/>
        <v>10.165053569969002</v>
      </c>
      <c r="AG83" s="6">
        <f t="shared" si="39"/>
        <v>41.855848597667666</v>
      </c>
      <c r="AH83" s="6">
        <f t="shared" si="40"/>
        <v>-1.4496778996220314</v>
      </c>
      <c r="AI83" s="6">
        <f t="shared" si="41"/>
        <v>24.9018557841184</v>
      </c>
    </row>
    <row r="84" spans="2:35" x14ac:dyDescent="0.2">
      <c r="B84" t="s">
        <v>128</v>
      </c>
      <c r="C84" s="6">
        <v>690619.26110419934</v>
      </c>
      <c r="D84" s="6">
        <v>488779.059593727</v>
      </c>
      <c r="E84" s="6">
        <v>111165.487313676</v>
      </c>
      <c r="F84" s="6">
        <v>559938388.86472714</v>
      </c>
      <c r="G84" s="6">
        <f t="shared" si="25"/>
        <v>81077.725513978206</v>
      </c>
      <c r="H84" s="6">
        <v>46323067.014489271</v>
      </c>
      <c r="I84" s="6">
        <f t="shared" si="26"/>
        <v>1.1934039380775987</v>
      </c>
      <c r="J84" s="9">
        <v>52.72067027688442</v>
      </c>
      <c r="K84" s="6">
        <v>74647.171573885644</v>
      </c>
      <c r="L84">
        <f t="shared" si="27"/>
        <v>92.068655232584319</v>
      </c>
      <c r="M84" s="6">
        <v>13297.901</v>
      </c>
      <c r="N84" s="6">
        <f t="shared" si="42"/>
        <v>1.4362873495187234</v>
      </c>
      <c r="O84" s="6">
        <v>42.2864</v>
      </c>
      <c r="P84" s="8">
        <f t="shared" si="28"/>
        <v>103.11216017517634</v>
      </c>
      <c r="S84" s="6">
        <f t="shared" si="29"/>
        <v>1292.2856169502402</v>
      </c>
      <c r="T84" s="6">
        <f t="shared" si="30"/>
        <v>1144.1965570759876</v>
      </c>
      <c r="U84" s="6">
        <f t="shared" si="31"/>
        <v>1326.8534277959275</v>
      </c>
      <c r="V84" s="6">
        <f t="shared" si="24"/>
        <v>21.589902227130633</v>
      </c>
      <c r="W84" s="6">
        <f t="shared" si="37"/>
        <v>28.761635233857774</v>
      </c>
      <c r="X84" s="6">
        <f t="shared" si="32"/>
        <v>452.25345512691632</v>
      </c>
      <c r="Y84" s="6">
        <f t="shared" si="33"/>
        <v>13.180167569221105</v>
      </c>
      <c r="AB84">
        <f t="shared" si="43"/>
        <v>81</v>
      </c>
      <c r="AC84" s="6">
        <f t="shared" si="34"/>
        <v>-1.9741713368621276</v>
      </c>
      <c r="AD84" s="6">
        <f t="shared" si="35"/>
        <v>-7.4846936841836396</v>
      </c>
      <c r="AE84" s="6">
        <f t="shared" si="36"/>
        <v>-0.87375105129012809</v>
      </c>
      <c r="AF84" s="6">
        <f t="shared" si="38"/>
        <v>7.0338705459457902</v>
      </c>
      <c r="AG84" s="6">
        <f t="shared" si="39"/>
        <v>28.761635233857774</v>
      </c>
      <c r="AH84" s="6">
        <f t="shared" si="40"/>
        <v>9.4984699135466144E-2</v>
      </c>
      <c r="AI84" s="6">
        <f t="shared" si="41"/>
        <v>13.180167569221105</v>
      </c>
    </row>
    <row r="85" spans="2:35" x14ac:dyDescent="0.2">
      <c r="B85" t="s">
        <v>129</v>
      </c>
      <c r="C85" s="6">
        <v>715761.56016933941</v>
      </c>
      <c r="D85" s="6">
        <v>517688.56503446703</v>
      </c>
      <c r="E85" s="6">
        <v>126476.044195439</v>
      </c>
      <c r="F85" s="6">
        <v>642862095.29497898</v>
      </c>
      <c r="G85" s="6">
        <f t="shared" si="25"/>
        <v>89815.118758666853</v>
      </c>
      <c r="H85" s="6">
        <v>46344400.849636778</v>
      </c>
      <c r="I85" s="6">
        <f t="shared" si="26"/>
        <v>1.1939535537339059</v>
      </c>
      <c r="J85" s="9">
        <v>40.651177986419462</v>
      </c>
      <c r="K85" s="6">
        <v>88726.587967818821</v>
      </c>
      <c r="L85">
        <f t="shared" si="27"/>
        <v>98.788031674519175</v>
      </c>
      <c r="M85" s="6">
        <v>13368</v>
      </c>
      <c r="N85" s="6">
        <f t="shared" si="42"/>
        <v>1.4438586426809985</v>
      </c>
      <c r="O85" s="6">
        <v>43.216999999999999</v>
      </c>
      <c r="P85" s="8">
        <f t="shared" si="28"/>
        <v>105.38135727540288</v>
      </c>
      <c r="S85" s="6">
        <f t="shared" si="29"/>
        <v>1297.9859000137276</v>
      </c>
      <c r="T85" s="6">
        <f t="shared" si="30"/>
        <v>1157.0538080773654</v>
      </c>
      <c r="U85" s="6">
        <f t="shared" si="31"/>
        <v>1330.3832259463748</v>
      </c>
      <c r="V85" s="6">
        <f t="shared" si="24"/>
        <v>24.246458683500073</v>
      </c>
      <c r="W85" s="6">
        <f t="shared" si="37"/>
        <v>10.234505265662008</v>
      </c>
      <c r="X85" s="6">
        <f t="shared" si="32"/>
        <v>459.29764605185761</v>
      </c>
      <c r="Y85" s="6">
        <f t="shared" si="33"/>
        <v>10.162794496604866</v>
      </c>
      <c r="AB85">
        <f t="shared" si="43"/>
        <v>82</v>
      </c>
      <c r="AC85" s="6">
        <f t="shared" si="34"/>
        <v>5.7002830634874044</v>
      </c>
      <c r="AD85" s="6">
        <f t="shared" si="35"/>
        <v>12.85725100137779</v>
      </c>
      <c r="AE85" s="6">
        <f t="shared" si="36"/>
        <v>3.5297981504472773</v>
      </c>
      <c r="AF85" s="6">
        <f t="shared" si="38"/>
        <v>9.6904270023152304</v>
      </c>
      <c r="AG85" s="6">
        <f t="shared" si="39"/>
        <v>10.234505265662008</v>
      </c>
      <c r="AH85" s="6">
        <f t="shared" si="40"/>
        <v>7.0441909249412902</v>
      </c>
      <c r="AI85" s="6">
        <f t="shared" si="41"/>
        <v>10.162794496604866</v>
      </c>
    </row>
    <row r="86" spans="2:35" x14ac:dyDescent="0.2">
      <c r="B86" t="s">
        <v>130</v>
      </c>
      <c r="C86" s="6">
        <v>729781.23766831763</v>
      </c>
      <c r="D86" s="6">
        <v>534656.09743425704</v>
      </c>
      <c r="E86" s="6">
        <v>140779.06844543599</v>
      </c>
      <c r="F86" s="6">
        <v>709365943.36728454</v>
      </c>
      <c r="G86" s="6">
        <f t="shared" si="25"/>
        <v>97202.546016904904</v>
      </c>
      <c r="H86" s="6">
        <v>46365744.509965383</v>
      </c>
      <c r="I86" s="6">
        <f t="shared" si="26"/>
        <v>1.1945034225126976</v>
      </c>
      <c r="J86" s="9">
        <v>36.404607057812719</v>
      </c>
      <c r="K86" s="6">
        <v>99059.23052908566</v>
      </c>
      <c r="L86">
        <f t="shared" si="27"/>
        <v>101.91011921833596</v>
      </c>
      <c r="M86" s="6">
        <v>13596</v>
      </c>
      <c r="N86" s="6">
        <f t="shared" si="42"/>
        <v>1.468484597987048</v>
      </c>
      <c r="O86" s="6">
        <v>47.9983</v>
      </c>
      <c r="P86" s="8">
        <f t="shared" si="28"/>
        <v>117.04019253793578</v>
      </c>
      <c r="S86" s="6">
        <f t="shared" si="29"/>
        <v>1301.1648457648234</v>
      </c>
      <c r="T86" s="6">
        <f t="shared" si="30"/>
        <v>1167.7216497039904</v>
      </c>
      <c r="U86" s="6">
        <f t="shared" si="31"/>
        <v>1332.2769540780434</v>
      </c>
      <c r="V86" s="6">
        <f t="shared" si="24"/>
        <v>36.384764611696511</v>
      </c>
      <c r="W86" s="6">
        <f t="shared" si="37"/>
        <v>7.9043583234259529</v>
      </c>
      <c r="X86" s="6">
        <f t="shared" si="32"/>
        <v>462.4091240679345</v>
      </c>
      <c r="Y86" s="6">
        <f t="shared" si="33"/>
        <v>9.1011517644531796</v>
      </c>
      <c r="AB86">
        <f t="shared" si="43"/>
        <v>83</v>
      </c>
      <c r="AC86" s="6">
        <f t="shared" si="34"/>
        <v>3.1789457510958528</v>
      </c>
      <c r="AD86" s="6">
        <f t="shared" si="35"/>
        <v>10.667841626624977</v>
      </c>
      <c r="AE86" s="6">
        <f t="shared" si="36"/>
        <v>1.8937281316686949</v>
      </c>
      <c r="AF86" s="6">
        <f t="shared" si="38"/>
        <v>21.82873293051167</v>
      </c>
      <c r="AG86" s="6">
        <f t="shared" si="39"/>
        <v>7.9043583234259529</v>
      </c>
      <c r="AH86" s="6">
        <f t="shared" si="40"/>
        <v>3.1114780160768873</v>
      </c>
      <c r="AI86" s="6">
        <f t="shared" si="41"/>
        <v>9.1011517644531796</v>
      </c>
    </row>
    <row r="87" spans="2:35" x14ac:dyDescent="0.2">
      <c r="B87" t="s">
        <v>131</v>
      </c>
      <c r="C87" s="6">
        <v>737836.57234611677</v>
      </c>
      <c r="D87" s="6">
        <v>547586.53670947696</v>
      </c>
      <c r="E87" s="6">
        <v>151812.73106302301</v>
      </c>
      <c r="F87" s="6">
        <v>723984891.7741555</v>
      </c>
      <c r="G87" s="6">
        <f t="shared" si="25"/>
        <v>98122.662783180189</v>
      </c>
      <c r="H87" s="6">
        <v>46387098</v>
      </c>
      <c r="I87" s="6">
        <f t="shared" si="26"/>
        <v>1.1950535445305477</v>
      </c>
      <c r="J87" s="9">
        <v>30.319575454067206</v>
      </c>
      <c r="K87" s="6">
        <v>106675.83397625851</v>
      </c>
      <c r="L87">
        <f t="shared" si="27"/>
        <v>108.71681520912055</v>
      </c>
      <c r="M87" s="6">
        <v>13258.808999999999</v>
      </c>
      <c r="N87" s="6">
        <f t="shared" si="42"/>
        <v>1.4320650782694948</v>
      </c>
      <c r="O87" s="6">
        <v>45.514299999999999</v>
      </c>
      <c r="P87" s="8">
        <f t="shared" si="28"/>
        <v>110.98314805377211</v>
      </c>
      <c r="S87" s="6">
        <f t="shared" si="29"/>
        <v>1303.5084794581612</v>
      </c>
      <c r="T87" s="6">
        <f t="shared" si="30"/>
        <v>1175.2212016254143</v>
      </c>
      <c r="U87" s="6">
        <f t="shared" si="31"/>
        <v>1333.3286640855995</v>
      </c>
      <c r="V87" s="6">
        <f t="shared" si="24"/>
        <v>28.513470616968604</v>
      </c>
      <c r="W87" s="6">
        <f t="shared" si="37"/>
        <v>0.94214523358591151</v>
      </c>
      <c r="X87" s="6">
        <f t="shared" si="32"/>
        <v>468.8746475899481</v>
      </c>
      <c r="Y87" s="6">
        <f t="shared" si="33"/>
        <v>7.5798938635168014</v>
      </c>
      <c r="AB87">
        <f t="shared" si="43"/>
        <v>84</v>
      </c>
      <c r="AC87" s="6">
        <f t="shared" si="34"/>
        <v>2.3436336933377788</v>
      </c>
      <c r="AD87" s="6">
        <f t="shared" si="35"/>
        <v>7.4995519214239721</v>
      </c>
      <c r="AE87" s="6">
        <f t="shared" si="36"/>
        <v>1.0517100075560393</v>
      </c>
      <c r="AF87" s="6">
        <f t="shared" si="38"/>
        <v>13.957438935783761</v>
      </c>
      <c r="AG87" s="6">
        <f t="shared" si="39"/>
        <v>0.94214523358591151</v>
      </c>
      <c r="AH87" s="6">
        <f t="shared" si="40"/>
        <v>6.4655235220135978</v>
      </c>
      <c r="AI87" s="6">
        <f t="shared" si="41"/>
        <v>7.5798938635168014</v>
      </c>
    </row>
    <row r="88" spans="2:35" x14ac:dyDescent="0.2">
      <c r="B88" t="s">
        <v>132</v>
      </c>
      <c r="C88" s="6">
        <v>737449.93857344822</v>
      </c>
      <c r="D88" s="6">
        <v>543910.18693920295</v>
      </c>
      <c r="E88" s="6">
        <v>149349.605585162</v>
      </c>
      <c r="F88" s="6">
        <v>833779385.50210619</v>
      </c>
      <c r="G88" s="6">
        <f t="shared" si="25"/>
        <v>113062.50660417727</v>
      </c>
      <c r="H88" s="6">
        <v>46406982.710407592</v>
      </c>
      <c r="I88" s="6">
        <f t="shared" si="26"/>
        <v>1.1955658269254188</v>
      </c>
      <c r="J88" s="9">
        <v>29.341296811226769</v>
      </c>
      <c r="K88" s="6">
        <v>113906.73478119362</v>
      </c>
      <c r="L88">
        <f t="shared" si="27"/>
        <v>100.74669154467972</v>
      </c>
      <c r="M88" s="6">
        <v>13304</v>
      </c>
      <c r="N88" s="6">
        <f t="shared" si="42"/>
        <v>1.4369460938231602</v>
      </c>
      <c r="O88" s="6">
        <v>43.253700000000002</v>
      </c>
      <c r="P88" s="8">
        <f t="shared" si="28"/>
        <v>105.47084742539032</v>
      </c>
      <c r="S88" s="6">
        <f t="shared" si="29"/>
        <v>1302.7919846014743</v>
      </c>
      <c r="T88" s="6">
        <f t="shared" si="30"/>
        <v>1173.5425614109711</v>
      </c>
      <c r="U88" s="6">
        <f t="shared" si="31"/>
        <v>1333.233391633675</v>
      </c>
      <c r="V88" s="6">
        <f t="shared" si="24"/>
        <v>23.716492576221523</v>
      </c>
      <c r="W88" s="6">
        <f t="shared" si="37"/>
        <v>14.172246451848913</v>
      </c>
      <c r="X88" s="6">
        <f t="shared" si="32"/>
        <v>461.26093620213987</v>
      </c>
      <c r="Y88" s="6">
        <f t="shared" si="33"/>
        <v>7.3353242028066923</v>
      </c>
      <c r="AB88">
        <f t="shared" si="43"/>
        <v>85</v>
      </c>
      <c r="AC88" s="6">
        <f t="shared" si="34"/>
        <v>-0.71649485668694979</v>
      </c>
      <c r="AD88" s="6">
        <f t="shared" si="35"/>
        <v>-1.6786402144432486</v>
      </c>
      <c r="AE88" s="6">
        <f t="shared" si="36"/>
        <v>-9.5272451924529378E-2</v>
      </c>
      <c r="AF88" s="6">
        <f t="shared" si="38"/>
        <v>9.1604608950366799</v>
      </c>
      <c r="AG88" s="6">
        <f t="shared" si="39"/>
        <v>14.172246451848913</v>
      </c>
      <c r="AH88" s="6">
        <f t="shared" si="40"/>
        <v>-7.6137113878082232</v>
      </c>
      <c r="AI88" s="6">
        <f t="shared" si="41"/>
        <v>7.3353242028066923</v>
      </c>
    </row>
    <row r="89" spans="2:35" x14ac:dyDescent="0.2">
      <c r="B89" t="s">
        <v>133</v>
      </c>
      <c r="C89" s="6">
        <v>739523.51945228642</v>
      </c>
      <c r="D89" s="6">
        <v>545245.06706877402</v>
      </c>
      <c r="E89" s="6">
        <v>140421.67533802101</v>
      </c>
      <c r="F89" s="6">
        <v>904980098.16324246</v>
      </c>
      <c r="G89" s="6">
        <f t="shared" si="25"/>
        <v>122373.40319257164</v>
      </c>
      <c r="H89" s="6">
        <v>46426875.944773883</v>
      </c>
      <c r="I89" s="6">
        <f t="shared" si="26"/>
        <v>1.1960783289198658</v>
      </c>
      <c r="J89" s="9">
        <v>29.341296811226769</v>
      </c>
      <c r="K89" s="6">
        <v>120805.37460820323</v>
      </c>
      <c r="L89">
        <f t="shared" si="27"/>
        <v>98.718652465764237</v>
      </c>
      <c r="M89" s="6">
        <v>13606</v>
      </c>
      <c r="N89" s="6">
        <f t="shared" si="42"/>
        <v>1.4695646837460852</v>
      </c>
      <c r="O89" s="6">
        <v>46.370699999999999</v>
      </c>
      <c r="P89" s="8">
        <f t="shared" si="28"/>
        <v>113.07141411505945</v>
      </c>
      <c r="S89" s="6">
        <f t="shared" si="29"/>
        <v>1302.9942491131219</v>
      </c>
      <c r="T89" s="6">
        <f t="shared" si="30"/>
        <v>1167.3356995615675</v>
      </c>
      <c r="U89" s="6">
        <f t="shared" si="31"/>
        <v>1333.4713219368598</v>
      </c>
      <c r="V89" s="6">
        <f t="shared" si="24"/>
        <v>32.876749406257531</v>
      </c>
      <c r="W89" s="6">
        <f t="shared" si="37"/>
        <v>7.9136230720838086</v>
      </c>
      <c r="X89" s="6">
        <f t="shared" si="32"/>
        <v>459.22739100007482</v>
      </c>
      <c r="Y89" s="6">
        <f t="shared" si="33"/>
        <v>7.3353242028066923</v>
      </c>
      <c r="AB89">
        <f t="shared" si="43"/>
        <v>86</v>
      </c>
      <c r="AC89" s="6">
        <f t="shared" si="34"/>
        <v>0.20226451164762693</v>
      </c>
      <c r="AD89" s="6">
        <f t="shared" si="35"/>
        <v>-6.2068618494035945</v>
      </c>
      <c r="AE89" s="6">
        <f t="shared" si="36"/>
        <v>0.23793030318483943</v>
      </c>
      <c r="AF89" s="6">
        <f t="shared" si="38"/>
        <v>18.32071772507269</v>
      </c>
      <c r="AG89" s="6">
        <f t="shared" si="39"/>
        <v>7.9136230720838086</v>
      </c>
      <c r="AH89" s="6">
        <f t="shared" si="40"/>
        <v>-2.0335452020650564</v>
      </c>
      <c r="AI89" s="6">
        <f t="shared" si="41"/>
        <v>7.3353242028066923</v>
      </c>
    </row>
    <row r="90" spans="2:35" x14ac:dyDescent="0.2">
      <c r="K90" s="6"/>
    </row>
    <row r="91" spans="2:35" x14ac:dyDescent="0.2">
      <c r="V91" s="8">
        <f>AVERAGE(V3:V89)</f>
        <v>14.556031681184843</v>
      </c>
      <c r="W91" s="8"/>
    </row>
    <row r="99" spans="14:16" x14ac:dyDescent="0.2">
      <c r="N99" t="s">
        <v>145</v>
      </c>
    </row>
    <row r="100" spans="14:16" x14ac:dyDescent="0.2">
      <c r="N100" t="s">
        <v>96</v>
      </c>
      <c r="O100" s="6">
        <v>43.907600000000002</v>
      </c>
      <c r="P100">
        <f>ROWS(O100:O133)</f>
        <v>34</v>
      </c>
    </row>
    <row r="101" spans="14:16" x14ac:dyDescent="0.2">
      <c r="N101" t="s">
        <v>97</v>
      </c>
      <c r="O101" s="6">
        <v>42.662300000000002</v>
      </c>
    </row>
    <row r="102" spans="14:16" x14ac:dyDescent="0.2">
      <c r="N102" t="s">
        <v>98</v>
      </c>
      <c r="O102" s="6">
        <v>42.877200000000002</v>
      </c>
    </row>
    <row r="103" spans="14:16" x14ac:dyDescent="0.2">
      <c r="N103" t="s">
        <v>99</v>
      </c>
      <c r="O103" s="6">
        <v>44.316499999999998</v>
      </c>
    </row>
    <row r="104" spans="14:16" x14ac:dyDescent="0.2">
      <c r="N104" t="s">
        <v>100</v>
      </c>
      <c r="O104" s="6">
        <v>42.018999999999998</v>
      </c>
    </row>
    <row r="105" spans="14:16" x14ac:dyDescent="0.2">
      <c r="N105" t="s">
        <v>101</v>
      </c>
      <c r="O105" s="6">
        <v>41.991199999999999</v>
      </c>
    </row>
    <row r="106" spans="14:16" x14ac:dyDescent="0.2">
      <c r="N106" t="s">
        <v>102</v>
      </c>
      <c r="O106" s="6">
        <v>42.094900000000003</v>
      </c>
    </row>
    <row r="107" spans="14:16" x14ac:dyDescent="0.2">
      <c r="N107" t="s">
        <v>103</v>
      </c>
      <c r="O107" s="6">
        <v>44.2836</v>
      </c>
    </row>
    <row r="108" spans="14:16" x14ac:dyDescent="0.2">
      <c r="N108" t="s">
        <v>104</v>
      </c>
      <c r="O108" s="6">
        <v>42.1706</v>
      </c>
    </row>
    <row r="109" spans="14:16" x14ac:dyDescent="0.2">
      <c r="N109" t="s">
        <v>105</v>
      </c>
      <c r="O109" s="6">
        <v>42.688800000000001</v>
      </c>
    </row>
    <row r="110" spans="14:16" x14ac:dyDescent="0.2">
      <c r="N110" t="s">
        <v>106</v>
      </c>
      <c r="O110" s="6">
        <v>42.219200000000001</v>
      </c>
    </row>
    <row r="111" spans="14:16" x14ac:dyDescent="0.2">
      <c r="N111" t="s">
        <v>107</v>
      </c>
      <c r="O111" s="6">
        <v>43.141100000000002</v>
      </c>
    </row>
    <row r="112" spans="14:16" x14ac:dyDescent="0.2">
      <c r="N112" t="s">
        <v>108</v>
      </c>
      <c r="O112" s="6">
        <v>41.010100000000001</v>
      </c>
    </row>
    <row r="113" spans="14:15" x14ac:dyDescent="0.2">
      <c r="N113" t="s">
        <v>109</v>
      </c>
      <c r="O113" s="6">
        <v>41.049399999999999</v>
      </c>
    </row>
    <row r="114" spans="14:15" x14ac:dyDescent="0.2">
      <c r="N114" t="s">
        <v>110</v>
      </c>
      <c r="O114" s="6">
        <v>41.238300000000002</v>
      </c>
    </row>
    <row r="115" spans="14:15" x14ac:dyDescent="0.2">
      <c r="N115" t="s">
        <v>115</v>
      </c>
      <c r="O115" s="6">
        <v>42.857799999999997</v>
      </c>
    </row>
    <row r="116" spans="14:15" x14ac:dyDescent="0.2">
      <c r="N116" t="s">
        <v>116</v>
      </c>
      <c r="O116" s="6">
        <v>41.892200000000003</v>
      </c>
    </row>
    <row r="117" spans="14:15" x14ac:dyDescent="0.2">
      <c r="N117" t="s">
        <v>117</v>
      </c>
      <c r="O117" s="6">
        <v>44.798699999999997</v>
      </c>
    </row>
    <row r="118" spans="14:15" x14ac:dyDescent="0.2">
      <c r="N118" t="s">
        <v>118</v>
      </c>
      <c r="O118" s="6">
        <v>43.021500000000003</v>
      </c>
    </row>
    <row r="119" spans="14:15" x14ac:dyDescent="0.2">
      <c r="N119" t="s">
        <v>119</v>
      </c>
      <c r="O119" s="6">
        <v>43.613900000000001</v>
      </c>
    </row>
    <row r="120" spans="14:15" x14ac:dyDescent="0.2">
      <c r="N120" t="s">
        <v>120</v>
      </c>
      <c r="O120" s="6">
        <v>41.996600000000001</v>
      </c>
    </row>
    <row r="121" spans="14:15" x14ac:dyDescent="0.2">
      <c r="N121" t="s">
        <v>121</v>
      </c>
      <c r="O121" s="6">
        <v>43.147300000000001</v>
      </c>
    </row>
    <row r="122" spans="14:15" x14ac:dyDescent="0.2">
      <c r="N122" t="s">
        <v>122</v>
      </c>
      <c r="O122" s="6">
        <v>43.491399999999999</v>
      </c>
    </row>
    <row r="123" spans="14:15" x14ac:dyDescent="0.2">
      <c r="N123" t="s">
        <v>123</v>
      </c>
      <c r="O123" s="6">
        <v>44.2149</v>
      </c>
    </row>
    <row r="124" spans="14:15" x14ac:dyDescent="0.2">
      <c r="N124" t="s">
        <v>124</v>
      </c>
      <c r="O124" s="6">
        <v>44.827599999999997</v>
      </c>
    </row>
    <row r="125" spans="14:15" x14ac:dyDescent="0.2">
      <c r="N125" t="s">
        <v>125</v>
      </c>
      <c r="O125" s="6">
        <v>45.073900000000002</v>
      </c>
    </row>
    <row r="126" spans="14:15" x14ac:dyDescent="0.2">
      <c r="N126" t="s">
        <v>126</v>
      </c>
      <c r="O126" s="6">
        <v>44.579900000000002</v>
      </c>
    </row>
    <row r="127" spans="14:15" x14ac:dyDescent="0.2">
      <c r="N127" t="s">
        <v>127</v>
      </c>
      <c r="O127" s="6">
        <v>44.222900000000003</v>
      </c>
    </row>
    <row r="128" spans="14:15" x14ac:dyDescent="0.2">
      <c r="N128" t="s">
        <v>128</v>
      </c>
      <c r="O128" s="6">
        <v>42.2864</v>
      </c>
    </row>
    <row r="129" spans="14:15" x14ac:dyDescent="0.2">
      <c r="N129" t="s">
        <v>129</v>
      </c>
      <c r="O129" s="6">
        <v>43.216999999999999</v>
      </c>
    </row>
    <row r="130" spans="14:15" x14ac:dyDescent="0.2">
      <c r="N130" t="s">
        <v>130</v>
      </c>
      <c r="O130" s="6">
        <v>47.9983</v>
      </c>
    </row>
    <row r="131" spans="14:15" x14ac:dyDescent="0.2">
      <c r="N131" t="s">
        <v>131</v>
      </c>
      <c r="O131" s="6">
        <v>45.514299999999999</v>
      </c>
    </row>
    <row r="132" spans="14:15" x14ac:dyDescent="0.2">
      <c r="N132" t="s">
        <v>132</v>
      </c>
      <c r="O132" s="6">
        <v>43.253700000000002</v>
      </c>
    </row>
    <row r="133" spans="14:15" x14ac:dyDescent="0.2">
      <c r="N133" t="s">
        <v>133</v>
      </c>
      <c r="O133" s="6">
        <v>46.370699999999999</v>
      </c>
    </row>
  </sheetData>
  <mergeCells count="1">
    <mergeCell ref="C1:E1"/>
  </mergeCells>
  <phoneticPr fontId="6" type="noConversion"/>
  <hyperlinks>
    <hyperlink ref="C1" r:id="rId1" xr:uid="{35AFB368-9982-4EEC-95FE-A7501F31F821}"/>
    <hyperlink ref="F1" r:id="rId2" xr:uid="{F6291F38-4682-4BD1-80FF-E0F6287A7804}"/>
    <hyperlink ref="H1" r:id="rId3" xr:uid="{52A39060-918B-4B02-9DB1-58844CF83CEA}"/>
    <hyperlink ref="J1" r:id="rId4" xr:uid="{63F37E80-123E-4D1D-925B-1CF8A4202AB4}"/>
    <hyperlink ref="K1" r:id="rId5" xr:uid="{8E232CC2-051B-41A5-AAF0-E20384ED22A4}"/>
    <hyperlink ref="M1" r:id="rId6" xr:uid="{49E5313B-5736-4449-9990-9151A0D19F5D}"/>
    <hyperlink ref="O1" r:id="rId7" xr:uid="{11E75FDC-4D2B-4489-8249-CACF09D754A1}"/>
  </hyperlinks>
  <pageMargins left="0.7" right="0.7" top="0.75" bottom="0.75" header="0.3" footer="0.3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data</vt:lpstr>
      <vt:lpstr>data_Arg</vt:lpstr>
      <vt:lpstr>data!Área_de_impresión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Guzzi</dc:creator>
  <cp:lastModifiedBy>David Guzzi</cp:lastModifiedBy>
  <dcterms:created xsi:type="dcterms:W3CDTF">2026-01-28T22:45:10Z</dcterms:created>
  <dcterms:modified xsi:type="dcterms:W3CDTF">2026-02-17T21:26:49Z</dcterms:modified>
</cp:coreProperties>
</file>